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1" sheetId="1" state="visible" r:id="rId2"/>
    <sheet name="Plan2" sheetId="2" state="visible" r:id="rId3"/>
    <sheet name="Plan3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<sst xmlns="http://schemas.openxmlformats.org/spreadsheetml/2006/main" count="120" uniqueCount="120">
  <si>
    <t xml:space="preserve">Samples</t>
  </si>
  <si>
    <t xml:space="preserve">226Ra</t>
  </si>
  <si>
    <t xml:space="preserve">232Th</t>
  </si>
  <si>
    <t xml:space="preserve">40K</t>
  </si>
  <si>
    <t xml:space="preserve">Raeq</t>
  </si>
  <si>
    <t xml:space="preserve">Theq</t>
  </si>
  <si>
    <t xml:space="preserve">Keq</t>
  </si>
  <si>
    <t xml:space="preserve">IG</t>
  </si>
  <si>
    <t xml:space="preserve">IA</t>
  </si>
  <si>
    <t xml:space="preserve">IB</t>
  </si>
  <si>
    <t xml:space="preserve">SB1</t>
  </si>
  <si>
    <t xml:space="preserve">SB2</t>
  </si>
  <si>
    <t xml:space="preserve">SB3</t>
  </si>
  <si>
    <t xml:space="preserve">SB4</t>
  </si>
  <si>
    <t xml:space="preserve">SB5</t>
  </si>
  <si>
    <t xml:space="preserve">SB6</t>
  </si>
  <si>
    <t xml:space="preserve">SB7</t>
  </si>
  <si>
    <t xml:space="preserve">SB8</t>
  </si>
  <si>
    <t xml:space="preserve">SB9</t>
  </si>
  <si>
    <t xml:space="preserve">CB1</t>
  </si>
  <si>
    <t xml:space="preserve">CB2</t>
  </si>
  <si>
    <t xml:space="preserve">CB3</t>
  </si>
  <si>
    <t xml:space="preserve">CB4</t>
  </si>
  <si>
    <t xml:space="preserve">CB5</t>
  </si>
  <si>
    <t xml:space="preserve">CB6</t>
  </si>
  <si>
    <t xml:space="preserve">HB1</t>
  </si>
  <si>
    <t xml:space="preserve">HB2</t>
  </si>
  <si>
    <t xml:space="preserve">HB3</t>
  </si>
  <si>
    <t xml:space="preserve">HB4</t>
  </si>
  <si>
    <t xml:space="preserve">HB5</t>
  </si>
  <si>
    <t xml:space="preserve">HB6</t>
  </si>
  <si>
    <t xml:space="preserve">HB7</t>
  </si>
  <si>
    <t xml:space="preserve">HB8</t>
  </si>
  <si>
    <t xml:space="preserve">HB9</t>
  </si>
  <si>
    <t xml:space="preserve">HB10</t>
  </si>
  <si>
    <t xml:space="preserve">HB11</t>
  </si>
  <si>
    <t xml:space="preserve">HB12</t>
  </si>
  <si>
    <t xml:space="preserve">HB13</t>
  </si>
  <si>
    <t xml:space="preserve">HB14</t>
  </si>
  <si>
    <t xml:space="preserve">AR1</t>
  </si>
  <si>
    <t xml:space="preserve">AR2</t>
  </si>
  <si>
    <t xml:space="preserve">AR3</t>
  </si>
  <si>
    <t xml:space="preserve">AR4</t>
  </si>
  <si>
    <t xml:space="preserve">AR5</t>
  </si>
  <si>
    <t xml:space="preserve">AR6</t>
  </si>
  <si>
    <t xml:space="preserve">AR7</t>
  </si>
  <si>
    <t xml:space="preserve">AR8</t>
  </si>
  <si>
    <t xml:space="preserve">AR9</t>
  </si>
  <si>
    <t xml:space="preserve">AR10</t>
  </si>
  <si>
    <t xml:space="preserve">AR11</t>
  </si>
  <si>
    <t xml:space="preserve">AR12</t>
  </si>
  <si>
    <t xml:space="preserve">AR13</t>
  </si>
  <si>
    <t xml:space="preserve">AR14</t>
  </si>
  <si>
    <t xml:space="preserve">AR15</t>
  </si>
  <si>
    <t xml:space="preserve">AR16</t>
  </si>
  <si>
    <t xml:space="preserve">AR17</t>
  </si>
  <si>
    <t xml:space="preserve">AR18</t>
  </si>
  <si>
    <t xml:space="preserve">AR19</t>
  </si>
  <si>
    <t xml:space="preserve">AR20</t>
  </si>
  <si>
    <t xml:space="preserve">AR21</t>
  </si>
  <si>
    <t xml:space="preserve">AR22</t>
  </si>
  <si>
    <t xml:space="preserve">AR23</t>
  </si>
  <si>
    <t xml:space="preserve">AR24</t>
  </si>
  <si>
    <t xml:space="preserve">AR25</t>
  </si>
  <si>
    <t xml:space="preserve">AR26</t>
  </si>
  <si>
    <t xml:space="preserve">AR27</t>
  </si>
  <si>
    <t xml:space="preserve">A1</t>
  </si>
  <si>
    <t xml:space="preserve">A2</t>
  </si>
  <si>
    <t xml:space="preserve">A3</t>
  </si>
  <si>
    <t xml:space="preserve">A4</t>
  </si>
  <si>
    <t xml:space="preserve">A5</t>
  </si>
  <si>
    <t xml:space="preserve">A6</t>
  </si>
  <si>
    <t xml:space="preserve">A7</t>
  </si>
  <si>
    <t xml:space="preserve">A8</t>
  </si>
  <si>
    <t xml:space="preserve">A9</t>
  </si>
  <si>
    <t xml:space="preserve">A10</t>
  </si>
  <si>
    <t xml:space="preserve">A11</t>
  </si>
  <si>
    <t xml:space="preserve">A12</t>
  </si>
  <si>
    <t xml:space="preserve">A13</t>
  </si>
  <si>
    <t xml:space="preserve">A14</t>
  </si>
  <si>
    <t xml:space="preserve">A15</t>
  </si>
  <si>
    <t xml:space="preserve">A16</t>
  </si>
  <si>
    <t xml:space="preserve">A17</t>
  </si>
  <si>
    <t xml:space="preserve">A18</t>
  </si>
  <si>
    <t xml:space="preserve">A19</t>
  </si>
  <si>
    <t xml:space="preserve">A20</t>
  </si>
  <si>
    <t xml:space="preserve">A21</t>
  </si>
  <si>
    <t xml:space="preserve">A22</t>
  </si>
  <si>
    <t xml:space="preserve">A23</t>
  </si>
  <si>
    <t xml:space="preserve">PB1</t>
  </si>
  <si>
    <t xml:space="preserve">PB2</t>
  </si>
  <si>
    <t xml:space="preserve">PB3</t>
  </si>
  <si>
    <t xml:space="preserve">PB4</t>
  </si>
  <si>
    <t xml:space="preserve">PB5</t>
  </si>
  <si>
    <t xml:space="preserve">PB6</t>
  </si>
  <si>
    <t xml:space="preserve">PB7</t>
  </si>
  <si>
    <t xml:space="preserve">PB8</t>
  </si>
  <si>
    <t xml:space="preserve">PB9</t>
  </si>
  <si>
    <t xml:space="preserve">PB10</t>
  </si>
  <si>
    <t xml:space="preserve">PB11</t>
  </si>
  <si>
    <t xml:space="preserve">PB12</t>
  </si>
  <si>
    <t xml:space="preserve">PB13</t>
  </si>
  <si>
    <t xml:space="preserve">PB14</t>
  </si>
  <si>
    <t xml:space="preserve">PB15</t>
  </si>
  <si>
    <t xml:space="preserve">PB16</t>
  </si>
  <si>
    <t xml:space="preserve">PB17</t>
  </si>
  <si>
    <t xml:space="preserve">PB18</t>
  </si>
  <si>
    <t xml:space="preserve">PB19</t>
  </si>
  <si>
    <t xml:space="preserve">PB20</t>
  </si>
  <si>
    <t xml:space="preserve">PP1</t>
  </si>
  <si>
    <t xml:space="preserve">PP2</t>
  </si>
  <si>
    <t xml:space="preserve">PP3</t>
  </si>
  <si>
    <t xml:space="preserve">PP4</t>
  </si>
  <si>
    <t xml:space="preserve">PP5</t>
  </si>
  <si>
    <t xml:space="preserve">PP6</t>
  </si>
  <si>
    <t xml:space="preserve">PP7</t>
  </si>
  <si>
    <t xml:space="preserve">PP8</t>
  </si>
  <si>
    <t xml:space="preserve">PP9</t>
  </si>
  <si>
    <t xml:space="preserve">PP10</t>
  </si>
  <si>
    <t xml:space="preserve">Ratio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</si>
</sst>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000"/>
    <numFmt numFmtId="166" formatCode="0.00"/>
    <numFmt numFmtId="167" formatCode="0.0"/>
  </numFmts>
  <fonts count="7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Times New Roman"/>
      <family val="1"/>
    </font>
    <font>
      <sz val="12"/>
      <color rgb="FF000000"/>
      <name val="Times New Roman"/>
      <family val="1"/>
    </font>
    <font>
      <b val="true"/>
      <i val="true"/>
      <sz val="12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00B0F0"/>
        <bgColor rgb="FF33CCCC"/>
      </patternFill>
    </fill>
    <fill>
      <patternFill patternType="solid">
        <fgColor rgb="FFC3D69B"/>
        <bgColor rgb="FFFFCC99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3D69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A1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55" activeCellId="0" sqref="C55"/>
    </sheetView>
  </sheetViews>
  <sheetFormatPr defaultColWidth="8.6875" defaultRowHeight="13.8" zeroHeight="false" outlineLevelRow="0" outlineLevelCol="0"/>
  <cols>
    <col collapsed="false" customWidth="true" hidden="false" outlineLevel="0" max="3" min="2" style="0" width="12.34"/>
    <col collapsed="false" customWidth="true" hidden="false" outlineLevel="0" max="4" min="4" style="0" width="14.93"/>
    <col collapsed="false" customWidth="true" hidden="false" outlineLevel="0" max="5" min="5" style="0" width="12.08"/>
    <col collapsed="false" customWidth="true" hidden="false" outlineLevel="0" max="6" min="6" style="0" width="13.89"/>
    <col collapsed="false" customWidth="true" hidden="false" outlineLevel="0" max="7" min="7" style="0" width="15.42"/>
    <col collapsed="false" customWidth="true" hidden="false" outlineLevel="0" max="13" min="13" style="0" width="14.15"/>
    <col collapsed="false" customWidth="true" hidden="false" outlineLevel="0" max="17" min="17" style="0" width="15.15"/>
    <col collapsed="false" customWidth="true" hidden="false" outlineLevel="0" max="1024" min="1023" style="0" width="11.5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</row>
    <row r="2" customFormat="false" ht="15" hidden="false" customHeight="false" outlineLevel="0" collapsed="false">
      <c r="A2" s="3" t="s">
        <v>10</v>
      </c>
      <c r="B2" s="4" t="n">
        <v>75.5947114542545</v>
      </c>
      <c r="C2" s="4" t="n">
        <v>153.027439135532</v>
      </c>
      <c r="D2" s="4" t="n">
        <v>933.783209859839</v>
      </c>
      <c r="E2" s="4" t="n">
        <v>366.325256577273</v>
      </c>
      <c r="F2" s="4" t="n">
        <v>257.301813695801</v>
      </c>
      <c r="G2" s="4" t="n">
        <v>4759.54371595609</v>
      </c>
      <c r="H2" s="4" t="n">
        <v>1.32838063714512</v>
      </c>
      <c r="I2" s="4" t="n">
        <v>0.377973557271272</v>
      </c>
      <c r="J2" s="4" t="n">
        <v>1.14898092620663</v>
      </c>
      <c r="K2" s="5"/>
      <c r="L2" s="2"/>
      <c r="M2" s="2"/>
      <c r="N2" s="2"/>
      <c r="O2" s="2"/>
    </row>
    <row r="3" customFormat="false" ht="15" hidden="false" customHeight="false" outlineLevel="0" collapsed="false">
      <c r="A3" s="3" t="s">
        <v>11</v>
      </c>
      <c r="B3" s="4" t="n">
        <v>64.8576660900111</v>
      </c>
      <c r="C3" s="4" t="n">
        <v>103.288510291657</v>
      </c>
      <c r="D3" s="4" t="n">
        <v>448.732522331361</v>
      </c>
      <c r="E3" s="4" t="n">
        <v>247.112640026595</v>
      </c>
      <c r="F3" s="4" t="n">
        <v>173.36916528289</v>
      </c>
      <c r="G3" s="4" t="n">
        <v>3214.1539213471</v>
      </c>
      <c r="H3" s="4" t="n">
        <v>0.882212279202109</v>
      </c>
      <c r="I3" s="4" t="n">
        <v>0.324288330450055</v>
      </c>
      <c r="J3" s="4" t="n">
        <v>0.771208936051764</v>
      </c>
      <c r="K3" s="5"/>
      <c r="L3" s="2"/>
      <c r="M3" s="2"/>
      <c r="N3" s="2"/>
      <c r="O3" s="2"/>
    </row>
    <row r="4" customFormat="false" ht="15" hidden="false" customHeight="false" outlineLevel="0" collapsed="false">
      <c r="A4" s="3" t="s">
        <v>12</v>
      </c>
      <c r="B4" s="4" t="n">
        <v>62.5534786390267</v>
      </c>
      <c r="C4" s="4" t="n">
        <v>131.144145781345</v>
      </c>
      <c r="D4" s="4" t="n">
        <v>793.639846127628</v>
      </c>
      <c r="E4" s="4" t="n">
        <v>311.199875258178</v>
      </c>
      <c r="F4" s="4" t="n">
        <v>218.581772365683</v>
      </c>
      <c r="G4" s="4" t="n">
        <v>4042.76883443198</v>
      </c>
      <c r="H4" s="4" t="n">
        <v>1.12877893974602</v>
      </c>
      <c r="I4" s="4" t="n">
        <v>0.312767393195133</v>
      </c>
      <c r="J4" s="4" t="n">
        <v>0.975401049032257</v>
      </c>
      <c r="K4" s="5"/>
      <c r="L4" s="2"/>
      <c r="M4" s="2"/>
      <c r="N4" s="2"/>
      <c r="O4" s="2"/>
    </row>
    <row r="5" customFormat="false" ht="15" hidden="false" customHeight="false" outlineLevel="0" collapsed="false">
      <c r="A5" s="3" t="s">
        <v>13</v>
      </c>
      <c r="B5" s="4" t="n">
        <v>86.8243203461325</v>
      </c>
      <c r="C5" s="4" t="n">
        <v>102.814855842151</v>
      </c>
      <c r="D5" s="4" t="n">
        <v>491.110776886444</v>
      </c>
      <c r="E5" s="4" t="n">
        <v>271.665094020664</v>
      </c>
      <c r="F5" s="4" t="n">
        <v>190.602972813198</v>
      </c>
      <c r="G5" s="4" t="n">
        <v>3538.62701711534</v>
      </c>
      <c r="H5" s="4" t="n">
        <v>0.967192272660009</v>
      </c>
      <c r="I5" s="4" t="n">
        <v>0.434121601730663</v>
      </c>
      <c r="J5" s="4" t="n">
        <v>0.854229294075637</v>
      </c>
      <c r="K5" s="5"/>
      <c r="L5" s="2"/>
      <c r="M5" s="2"/>
      <c r="N5" s="2"/>
      <c r="O5" s="2"/>
    </row>
    <row r="6" customFormat="false" ht="15" hidden="false" customHeight="false" outlineLevel="0" collapsed="false">
      <c r="A6" s="3" t="s">
        <v>14</v>
      </c>
      <c r="B6" s="4" t="n">
        <v>92.1633856406162</v>
      </c>
      <c r="C6" s="4" t="n">
        <v>153.249914218987</v>
      </c>
      <c r="D6" s="4" t="n">
        <v>849.689709465823</v>
      </c>
      <c r="E6" s="4" t="n">
        <v>376.736870602635</v>
      </c>
      <c r="F6" s="4" t="n">
        <v>264.497218188038</v>
      </c>
      <c r="G6" s="4" t="n">
        <v>4898.92635183007</v>
      </c>
      <c r="H6" s="4" t="n">
        <v>1.35669075971893</v>
      </c>
      <c r="I6" s="4" t="n">
        <v>0.460816928203081</v>
      </c>
      <c r="J6" s="4" t="n">
        <v>1.18177751401056</v>
      </c>
      <c r="K6" s="5"/>
      <c r="L6" s="2"/>
      <c r="M6" s="2"/>
      <c r="N6" s="2"/>
      <c r="O6" s="2"/>
    </row>
    <row r="7" customFormat="false" ht="15" hidden="false" customHeight="false" outlineLevel="0" collapsed="false">
      <c r="A7" s="3" t="s">
        <v>15</v>
      </c>
      <c r="B7" s="4" t="n">
        <v>77.8693912444941</v>
      </c>
      <c r="C7" s="4" t="n">
        <v>138.509327185297</v>
      </c>
      <c r="D7" s="4" t="n">
        <v>915.961050929266</v>
      </c>
      <c r="E7" s="4" t="n">
        <v>346.466730041022</v>
      </c>
      <c r="F7" s="4" t="n">
        <v>243.395758857552</v>
      </c>
      <c r="G7" s="4" t="n">
        <v>4503.83397084694</v>
      </c>
      <c r="H7" s="4" t="n">
        <v>1.25743162371789</v>
      </c>
      <c r="I7" s="4" t="n">
        <v>0.38934695622247</v>
      </c>
      <c r="J7" s="4" t="n">
        <v>1.09112045934518</v>
      </c>
      <c r="K7" s="5"/>
      <c r="L7" s="2"/>
      <c r="M7" s="2"/>
      <c r="N7" s="2"/>
      <c r="O7" s="2"/>
    </row>
    <row r="8" customFormat="false" ht="15" hidden="false" customHeight="false" outlineLevel="0" collapsed="false">
      <c r="A8" s="3" t="s">
        <v>16</v>
      </c>
      <c r="B8" s="4" t="n">
        <v>78.9729764471363</v>
      </c>
      <c r="C8" s="4" t="n">
        <v>129.600892562068</v>
      </c>
      <c r="D8" s="4" t="n">
        <v>771.915769538585</v>
      </c>
      <c r="E8" s="4" t="n">
        <v>323.739767065365</v>
      </c>
      <c r="F8" s="4" t="n">
        <v>227.337343399686</v>
      </c>
      <c r="G8" s="4" t="n">
        <v>4209.95045439445</v>
      </c>
      <c r="H8" s="4" t="n">
        <v>1.16855297414699</v>
      </c>
      <c r="I8" s="4" t="n">
        <v>0.394864882235682</v>
      </c>
      <c r="J8" s="4" t="n">
        <v>1.01766802092646</v>
      </c>
      <c r="K8" s="5"/>
      <c r="L8" s="2"/>
      <c r="M8" s="2"/>
      <c r="N8" s="2"/>
      <c r="O8" s="2"/>
    </row>
    <row r="9" customFormat="false" ht="15" hidden="false" customHeight="false" outlineLevel="0" collapsed="false">
      <c r="A9" s="3" t="s">
        <v>17</v>
      </c>
      <c r="B9" s="4" t="n">
        <v>90.9811036636774</v>
      </c>
      <c r="C9" s="4" t="n">
        <v>156.989257314599</v>
      </c>
      <c r="D9" s="4" t="n">
        <v>908.245603833316</v>
      </c>
      <c r="E9" s="4" t="n">
        <v>385.41065311872</v>
      </c>
      <c r="F9" s="4" t="n">
        <v>270.629538090006</v>
      </c>
      <c r="G9" s="4" t="n">
        <v>5010.85710636791</v>
      </c>
      <c r="H9" s="4" t="n">
        <v>1.39096516672969</v>
      </c>
      <c r="I9" s="4" t="n">
        <v>0.454905518318387</v>
      </c>
      <c r="J9" s="4" t="n">
        <v>1.20968269653234</v>
      </c>
      <c r="K9" s="5"/>
      <c r="L9" s="2"/>
      <c r="M9" s="2"/>
      <c r="N9" s="2"/>
      <c r="O9" s="2"/>
    </row>
    <row r="10" customFormat="false" ht="15" hidden="false" customHeight="false" outlineLevel="0" collapsed="false">
      <c r="A10" s="3" t="s">
        <v>18</v>
      </c>
      <c r="B10" s="4" t="n">
        <v>52.9701515333255</v>
      </c>
      <c r="C10" s="4" t="n">
        <v>151.635336649214</v>
      </c>
      <c r="D10" s="4" t="n">
        <v>798.521540599804</v>
      </c>
      <c r="E10" s="4" t="n">
        <v>331.294841567887</v>
      </c>
      <c r="F10" s="4" t="n">
        <v>232.633127455531</v>
      </c>
      <c r="G10" s="4" t="n">
        <v>4299.03466144553</v>
      </c>
      <c r="H10" s="4" t="n">
        <v>1.20091770189042</v>
      </c>
      <c r="I10" s="4" t="n">
        <v>0.264850757666628</v>
      </c>
      <c r="J10" s="4" t="n">
        <v>1.03019261353831</v>
      </c>
      <c r="K10" s="5"/>
      <c r="L10" s="2"/>
      <c r="M10" s="2"/>
      <c r="N10" s="2"/>
      <c r="O10" s="2"/>
    </row>
    <row r="11" customFormat="false" ht="15" hidden="false" customHeight="false" outlineLevel="0" collapsed="false">
      <c r="A11" s="3" t="s">
        <v>19</v>
      </c>
      <c r="B11" s="4" t="n">
        <v>73.5878195425075</v>
      </c>
      <c r="C11" s="4" t="n">
        <v>122.362334608958</v>
      </c>
      <c r="D11" s="4" t="n">
        <v>678.43441918589</v>
      </c>
      <c r="E11" s="4" t="n">
        <v>300.805408310631</v>
      </c>
      <c r="F11" s="4" t="n">
        <v>211.187701343937</v>
      </c>
      <c r="G11" s="4" t="n">
        <v>3911.54584681006</v>
      </c>
      <c r="H11" s="4" t="n">
        <v>1.08324921124845</v>
      </c>
      <c r="I11" s="4" t="n">
        <v>0.367939097712538</v>
      </c>
      <c r="J11" s="4" t="n">
        <v>0.943589798008432</v>
      </c>
      <c r="K11" s="5"/>
      <c r="L11" s="2"/>
      <c r="M11" s="2"/>
      <c r="N11" s="2"/>
      <c r="O11" s="2"/>
    </row>
    <row r="12" customFormat="false" ht="15" hidden="false" customHeight="false" outlineLevel="0" collapsed="false">
      <c r="A12" s="3" t="s">
        <v>20</v>
      </c>
      <c r="B12" s="4" t="n">
        <v>11.5859550794897</v>
      </c>
      <c r="C12" s="4" t="n">
        <v>23.6099768500524</v>
      </c>
      <c r="D12" s="4" t="n">
        <v>956.80340341031</v>
      </c>
      <c r="E12" s="4" t="n">
        <v>119.022084037658</v>
      </c>
      <c r="F12" s="4" t="n">
        <v>84.3443325932622</v>
      </c>
      <c r="G12" s="4" t="n">
        <v>1546.04162131472</v>
      </c>
      <c r="H12" s="4" t="n">
        <v>0.475604202318664</v>
      </c>
      <c r="I12" s="4" t="n">
        <v>0.0579297753974483</v>
      </c>
      <c r="J12" s="4" t="n">
        <v>0.402773476976381</v>
      </c>
      <c r="K12" s="5"/>
      <c r="L12" s="2"/>
      <c r="M12" s="2"/>
      <c r="N12" s="2"/>
      <c r="O12" s="2"/>
    </row>
    <row r="13" customFormat="false" ht="15" hidden="false" customHeight="false" outlineLevel="0" collapsed="false">
      <c r="A13" s="3" t="s">
        <v>21</v>
      </c>
      <c r="B13" s="4" t="n">
        <v>32.4882790893958</v>
      </c>
      <c r="C13" s="4" t="n">
        <v>69.6243877364759</v>
      </c>
      <c r="D13" s="4" t="n">
        <v>817.059628721382</v>
      </c>
      <c r="E13" s="4" t="n">
        <v>194.964744964103</v>
      </c>
      <c r="F13" s="4" t="n">
        <v>137.304462678729</v>
      </c>
      <c r="G13" s="4" t="n">
        <v>2532.47064148033</v>
      </c>
      <c r="H13" s="4" t="n">
        <v>0.728769411887492</v>
      </c>
      <c r="I13" s="4" t="n">
        <v>0.162441395446979</v>
      </c>
      <c r="J13" s="4" t="n">
        <v>0.62535688717813</v>
      </c>
      <c r="K13" s="5"/>
      <c r="L13" s="2"/>
      <c r="M13" s="2"/>
      <c r="N13" s="2"/>
      <c r="O13" s="2"/>
    </row>
    <row r="14" customFormat="false" ht="15" hidden="false" customHeight="false" outlineLevel="0" collapsed="false">
      <c r="A14" s="3" t="s">
        <v>22</v>
      </c>
      <c r="B14" s="4" t="n">
        <v>30.6989397142547</v>
      </c>
      <c r="C14" s="4" t="n">
        <v>77.5378191910517</v>
      </c>
      <c r="D14" s="4" t="n">
        <v>830.899267904998</v>
      </c>
      <c r="E14" s="4" t="n">
        <v>205.557264786144</v>
      </c>
      <c r="F14" s="4" t="n">
        <v>144.726536725805</v>
      </c>
      <c r="G14" s="4" t="n">
        <v>2668.70137198855</v>
      </c>
      <c r="H14" s="4" t="n">
        <v>0.766985317637774</v>
      </c>
      <c r="I14" s="4" t="n">
        <v>0.153494698571273</v>
      </c>
      <c r="J14" s="4" t="n">
        <v>0.656209397872731</v>
      </c>
      <c r="K14" s="5"/>
      <c r="L14" s="2"/>
      <c r="M14" s="2"/>
      <c r="N14" s="2"/>
      <c r="O14" s="2"/>
    </row>
    <row r="15" customFormat="false" ht="15" hidden="false" customHeight="false" outlineLevel="0" collapsed="false">
      <c r="A15" s="3" t="s">
        <v>23</v>
      </c>
      <c r="B15" s="4" t="n">
        <v>8.31528627022454</v>
      </c>
      <c r="C15" s="4" t="n">
        <v>23.9909593105488</v>
      </c>
      <c r="D15" s="4" t="n">
        <v>946.990114710538</v>
      </c>
      <c r="E15" s="4" t="n">
        <v>115.540596917021</v>
      </c>
      <c r="F15" s="4" t="n">
        <v>81.8961160087856</v>
      </c>
      <c r="G15" s="4" t="n">
        <v>1499.95761380104</v>
      </c>
      <c r="H15" s="4" t="n">
        <v>0.463335789023672</v>
      </c>
      <c r="I15" s="4" t="n">
        <v>0.0415764313511227</v>
      </c>
      <c r="J15" s="4" t="n">
        <v>0.390732761003185</v>
      </c>
      <c r="K15" s="5"/>
      <c r="L15" s="2"/>
      <c r="M15" s="2"/>
      <c r="N15" s="2"/>
      <c r="O15" s="2"/>
    </row>
    <row r="16" customFormat="false" ht="15" hidden="false" customHeight="false" outlineLevel="0" collapsed="false">
      <c r="A16" s="3" t="s">
        <v>24</v>
      </c>
      <c r="B16" s="4" t="n">
        <v>29.5898206558249</v>
      </c>
      <c r="C16" s="4" t="n">
        <v>62.7111746222094</v>
      </c>
      <c r="D16" s="4" t="n">
        <v>828.156297350931</v>
      </c>
      <c r="E16" s="4" t="n">
        <v>183.034835261606</v>
      </c>
      <c r="F16" s="4" t="n">
        <v>128.972645435588</v>
      </c>
      <c r="G16" s="4" t="n">
        <v>2377.57380636004</v>
      </c>
      <c r="H16" s="4" t="n">
        <v>0.68824070774744</v>
      </c>
      <c r="I16" s="4" t="n">
        <v>0.147949103279125</v>
      </c>
      <c r="J16" s="4" t="n">
        <v>0.589972712376103</v>
      </c>
      <c r="K16" s="5"/>
      <c r="L16" s="2"/>
      <c r="M16" s="2"/>
      <c r="N16" s="2"/>
      <c r="O16" s="2"/>
    </row>
    <row r="17" customFormat="false" ht="15" hidden="false" customHeight="false" outlineLevel="0" collapsed="false">
      <c r="A17" s="3" t="s">
        <v>25</v>
      </c>
      <c r="B17" s="4" t="n">
        <v>24.3842253109864</v>
      </c>
      <c r="C17" s="4" t="n">
        <v>50.2454903766084</v>
      </c>
      <c r="D17" s="4" t="n">
        <v>241.073175131728</v>
      </c>
      <c r="E17" s="4" t="n">
        <v>114.797911034679</v>
      </c>
      <c r="F17" s="4" t="n">
        <v>80.5734727265439</v>
      </c>
      <c r="G17" s="4" t="n">
        <v>1491.45207060138</v>
      </c>
      <c r="H17" s="4" t="n">
        <v>0.412865927963572</v>
      </c>
      <c r="I17" s="4" t="n">
        <v>0.121921126554932</v>
      </c>
      <c r="J17" s="4" t="n">
        <v>0.357601731809081</v>
      </c>
      <c r="K17" s="5"/>
      <c r="L17" s="2"/>
      <c r="M17" s="2"/>
      <c r="N17" s="2"/>
      <c r="O17" s="2"/>
    </row>
    <row r="18" customFormat="false" ht="15" hidden="false" customHeight="false" outlineLevel="0" collapsed="false">
      <c r="A18" s="3" t="s">
        <v>26</v>
      </c>
      <c r="B18" s="4" t="n">
        <v>20.8382683677211</v>
      </c>
      <c r="C18" s="4" t="n">
        <v>60.6737974749532</v>
      </c>
      <c r="D18" s="4" t="n">
        <v>471.487314011935</v>
      </c>
      <c r="E18" s="4" t="n">
        <v>143.906321935823</v>
      </c>
      <c r="F18" s="4" t="n">
        <v>101.192387603014</v>
      </c>
      <c r="G18" s="4" t="n">
        <v>1867.4242885882</v>
      </c>
      <c r="H18" s="4" t="n">
        <v>0.529992319937815</v>
      </c>
      <c r="I18" s="4" t="n">
        <v>0.104191341838605</v>
      </c>
      <c r="J18" s="4" t="n">
        <v>0.453237082374691</v>
      </c>
      <c r="K18" s="5"/>
      <c r="L18" s="2"/>
      <c r="M18" s="2"/>
      <c r="N18" s="2"/>
      <c r="O18" s="2"/>
    </row>
    <row r="19" customFormat="false" ht="15" hidden="false" customHeight="false" outlineLevel="0" collapsed="false">
      <c r="A19" s="3" t="s">
        <v>27</v>
      </c>
      <c r="B19" s="4" t="n">
        <v>33.3919505632386</v>
      </c>
      <c r="C19" s="4" t="n">
        <v>124.758431965205</v>
      </c>
      <c r="D19" s="4" t="n">
        <v>504.668817792661</v>
      </c>
      <c r="E19" s="4" t="n">
        <v>250.656007243516</v>
      </c>
      <c r="F19" s="4" t="n">
        <v>175.889582338068</v>
      </c>
      <c r="G19" s="4" t="n">
        <v>3249.81889732762</v>
      </c>
      <c r="H19" s="4" t="n">
        <v>0.903321600967706</v>
      </c>
      <c r="I19" s="4" t="n">
        <v>0.166959752816193</v>
      </c>
      <c r="J19" s="4" t="n">
        <v>0.771319084452666</v>
      </c>
      <c r="K19" s="5"/>
      <c r="L19" s="2"/>
      <c r="M19" s="2"/>
      <c r="N19" s="2"/>
      <c r="O19" s="2"/>
    </row>
    <row r="20" customFormat="false" ht="15" hidden="false" customHeight="false" outlineLevel="0" collapsed="false">
      <c r="A20" s="3" t="s">
        <v>28</v>
      </c>
      <c r="B20" s="4" t="n">
        <v>26.7492494305838</v>
      </c>
      <c r="C20" s="4" t="n">
        <v>55.4189601911224</v>
      </c>
      <c r="D20" s="4" t="n">
        <v>379.844783229564</v>
      </c>
      <c r="E20" s="4" t="n">
        <v>135.246410812565</v>
      </c>
      <c r="F20" s="4" t="n">
        <v>95.034897870157</v>
      </c>
      <c r="G20" s="4" t="n">
        <v>1757.03885081861</v>
      </c>
      <c r="H20" s="4" t="n">
        <v>0.492873893467413</v>
      </c>
      <c r="I20" s="4" t="n">
        <v>0.133746247152919</v>
      </c>
      <c r="J20" s="4" t="n">
        <v>0.425588938684279</v>
      </c>
      <c r="K20" s="5"/>
      <c r="L20" s="2"/>
      <c r="M20" s="2"/>
      <c r="N20" s="2"/>
      <c r="O20" s="2"/>
    </row>
    <row r="21" customFormat="false" ht="15" hidden="false" customHeight="false" outlineLevel="0" collapsed="false">
      <c r="A21" s="3" t="s">
        <v>29</v>
      </c>
      <c r="B21" s="4" t="n">
        <v>27.3907461511358</v>
      </c>
      <c r="C21" s="4" t="n">
        <v>59.9490163812729</v>
      </c>
      <c r="D21" s="4" t="n">
        <v>428.013896746671</v>
      </c>
      <c r="E21" s="4" t="n">
        <v>146.07490962585</v>
      </c>
      <c r="F21" s="4" t="n">
        <v>102.663303008135</v>
      </c>
      <c r="G21" s="4" t="n">
        <v>1897.32621818601</v>
      </c>
      <c r="H21" s="4" t="n">
        <v>0.533718867992374</v>
      </c>
      <c r="I21" s="4" t="n">
        <v>0.136953730755679</v>
      </c>
      <c r="J21" s="4" t="n">
        <v>0.459982804522054</v>
      </c>
      <c r="K21" s="5"/>
      <c r="L21" s="2"/>
      <c r="M21" s="2"/>
      <c r="N21" s="2"/>
      <c r="O21" s="2"/>
    </row>
    <row r="22" customFormat="false" ht="15" hidden="false" customHeight="false" outlineLevel="0" collapsed="false">
      <c r="A22" s="3" t="s">
        <v>30</v>
      </c>
      <c r="B22" s="4" t="n">
        <v>26.3962671240288</v>
      </c>
      <c r="C22" s="4" t="n">
        <v>65.5077591598284</v>
      </c>
      <c r="D22" s="4" t="n">
        <v>460.601189762618</v>
      </c>
      <c r="E22" s="4" t="n">
        <v>155.538654334305</v>
      </c>
      <c r="F22" s="4" t="n">
        <v>109.318211583592</v>
      </c>
      <c r="G22" s="4" t="n">
        <v>2019.36100057519</v>
      </c>
      <c r="H22" s="4" t="n">
        <v>0.56906008280011</v>
      </c>
      <c r="I22" s="4" t="n">
        <v>0.131981335620144</v>
      </c>
      <c r="J22" s="4" t="n">
        <v>0.488881328513441</v>
      </c>
      <c r="K22" s="5"/>
      <c r="L22" s="2"/>
      <c r="M22" s="2"/>
      <c r="N22" s="2"/>
      <c r="O22" s="2"/>
    </row>
    <row r="23" customFormat="false" ht="15" hidden="false" customHeight="false" outlineLevel="0" collapsed="false">
      <c r="A23" s="3" t="s">
        <v>31</v>
      </c>
      <c r="B23" s="4" t="n">
        <v>62.3527534707764</v>
      </c>
      <c r="C23" s="4" t="n">
        <v>102.859145619172</v>
      </c>
      <c r="D23" s="4" t="n">
        <v>374.651355346244</v>
      </c>
      <c r="E23" s="4" t="n">
        <v>238.289486067853</v>
      </c>
      <c r="F23" s="4" t="n">
        <v>167.111897592759</v>
      </c>
      <c r="G23" s="4" t="n">
        <v>3098.98163942924</v>
      </c>
      <c r="H23" s="4" t="n">
        <v>0.847022024780529</v>
      </c>
      <c r="I23" s="4" t="n">
        <v>0.311763767353882</v>
      </c>
      <c r="J23" s="4" t="n">
        <v>0.740492105911983</v>
      </c>
      <c r="K23" s="5"/>
      <c r="L23" s="2"/>
      <c r="M23" s="2"/>
      <c r="N23" s="2"/>
      <c r="O23" s="2"/>
    </row>
    <row r="24" customFormat="false" ht="15" hidden="false" customHeight="false" outlineLevel="0" collapsed="false">
      <c r="A24" s="3" t="s">
        <v>32</v>
      </c>
      <c r="B24" s="4" t="n">
        <v>19.6644663546217</v>
      </c>
      <c r="C24" s="4" t="n">
        <v>37.9435560160703</v>
      </c>
      <c r="D24" s="4" t="n">
        <v>295.505693714049</v>
      </c>
      <c r="E24" s="4" t="n">
        <v>96.677689873584</v>
      </c>
      <c r="F24" s="4" t="n">
        <v>67.9614956185782</v>
      </c>
      <c r="G24" s="4" t="n">
        <v>1256.3012723059</v>
      </c>
      <c r="H24" s="4" t="n">
        <v>0.353767899167107</v>
      </c>
      <c r="I24" s="4" t="n">
        <v>0.0983223317731086</v>
      </c>
      <c r="J24" s="4" t="n">
        <v>0.305731286169601</v>
      </c>
      <c r="K24" s="5"/>
      <c r="L24" s="5"/>
      <c r="M24" s="5"/>
      <c r="N24" s="2"/>
      <c r="O24" s="2"/>
    </row>
    <row r="25" customFormat="false" ht="15" hidden="false" customHeight="false" outlineLevel="0" collapsed="false">
      <c r="A25" s="3" t="s">
        <v>33</v>
      </c>
      <c r="B25" s="4" t="n">
        <v>58.2350731379345</v>
      </c>
      <c r="C25" s="4" t="n">
        <v>101.851672810856</v>
      </c>
      <c r="D25" s="4" t="n">
        <v>484.959205468258</v>
      </c>
      <c r="E25" s="4" t="n">
        <v>241.224824078514</v>
      </c>
      <c r="F25" s="4" t="n">
        <v>169.288980308164</v>
      </c>
      <c r="G25" s="4" t="n">
        <v>3136.17345390291</v>
      </c>
      <c r="H25" s="4" t="n">
        <v>0.86502834300348</v>
      </c>
      <c r="I25" s="4" t="n">
        <v>0.291175365689672</v>
      </c>
      <c r="J25" s="4" t="n">
        <v>0.753209770912863</v>
      </c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</row>
    <row r="26" customFormat="false" ht="15" hidden="false" customHeight="false" outlineLevel="0" collapsed="false">
      <c r="A26" s="3" t="s">
        <v>34</v>
      </c>
      <c r="B26" s="4" t="n">
        <v>56.6359557051473</v>
      </c>
      <c r="C26" s="4" t="n">
        <v>103.959424232065</v>
      </c>
      <c r="D26" s="4" t="n">
        <v>464.278299318424</v>
      </c>
      <c r="E26" s="4" t="n">
        <v>241.047361404519</v>
      </c>
      <c r="F26" s="4" t="n">
        <v>169.139899688181</v>
      </c>
      <c r="G26" s="4" t="n">
        <v>3133.22932417849</v>
      </c>
      <c r="H26" s="4" t="n">
        <v>0.863343073283624</v>
      </c>
      <c r="I26" s="4" t="n">
        <v>0.283179778525736</v>
      </c>
      <c r="J26" s="4" t="n">
        <v>0.750916980905879</v>
      </c>
      <c r="K26" s="5"/>
      <c r="L26" s="5"/>
      <c r="M26" s="5"/>
      <c r="N26" s="2"/>
      <c r="O26" s="2"/>
    </row>
    <row r="27" customFormat="false" ht="15" hidden="false" customHeight="false" outlineLevel="0" collapsed="false">
      <c r="A27" s="3" t="s">
        <v>35</v>
      </c>
      <c r="B27" s="4" t="n">
        <v>26.9311596609319</v>
      </c>
      <c r="C27" s="4" t="n">
        <v>52.8265256376647</v>
      </c>
      <c r="D27" s="4" t="n">
        <v>465.761792109146</v>
      </c>
      <c r="E27" s="4" t="n">
        <v>138.336749315197</v>
      </c>
      <c r="F27" s="4" t="n">
        <v>97.29523596632</v>
      </c>
      <c r="G27" s="4" t="n">
        <v>1797.50800929117</v>
      </c>
      <c r="H27" s="4" t="n">
        <v>0.509157091094478</v>
      </c>
      <c r="I27" s="4" t="n">
        <v>0.13465579830466</v>
      </c>
      <c r="J27" s="4" t="n">
        <v>0.43925933127925</v>
      </c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</row>
    <row r="28" customFormat="false" ht="15" hidden="false" customHeight="false" outlineLevel="0" collapsed="false">
      <c r="A28" s="3" t="s">
        <v>36</v>
      </c>
      <c r="B28" s="4" t="n">
        <v>45.2868977854641</v>
      </c>
      <c r="C28" s="4" t="n">
        <v>67.7060253986006</v>
      </c>
      <c r="D28" s="4" t="n">
        <v>299.981011663521</v>
      </c>
      <c r="E28" s="4" t="n">
        <v>165.205052003554</v>
      </c>
      <c r="F28" s="4" t="n">
        <v>115.905809489919</v>
      </c>
      <c r="G28" s="4" t="n">
        <v>2149.43276720123</v>
      </c>
      <c r="H28" s="4" t="n">
        <v>0.589480123499057</v>
      </c>
      <c r="I28" s="4" t="n">
        <v>0.226434488927321</v>
      </c>
      <c r="J28" s="4" t="n">
        <v>0.516392823907805</v>
      </c>
      <c r="K28" s="5"/>
      <c r="L28" s="5"/>
      <c r="M28" s="5"/>
    </row>
    <row r="29" customFormat="false" ht="15" hidden="false" customHeight="false" outlineLevel="0" collapsed="false">
      <c r="A29" s="3" t="s">
        <v>37</v>
      </c>
      <c r="B29" s="4" t="n">
        <v>29.3803549156516</v>
      </c>
      <c r="C29" s="4" t="n">
        <v>63.8689161029245</v>
      </c>
      <c r="D29" s="4" t="n">
        <v>519.920891968088</v>
      </c>
      <c r="E29" s="4" t="n">
        <v>160.746813624376</v>
      </c>
      <c r="F29" s="4" t="n">
        <v>113.030813602125</v>
      </c>
      <c r="G29" s="4" t="n">
        <v>2087.9369823113</v>
      </c>
      <c r="H29" s="4" t="n">
        <v>0.59058606088949</v>
      </c>
      <c r="I29" s="4" t="n">
        <v>0.146901774578258</v>
      </c>
      <c r="J29" s="4" t="n">
        <v>0.508477470138826</v>
      </c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</row>
    <row r="30" customFormat="false" ht="15" hidden="false" customHeight="false" outlineLevel="0" collapsed="false">
      <c r="A30" s="6" t="s">
        <v>38</v>
      </c>
      <c r="B30" s="7" t="n">
        <v>28.9751272790156</v>
      </c>
      <c r="C30" s="7" t="n">
        <v>54.7039458519372</v>
      </c>
      <c r="D30" s="7" t="n">
        <v>1122.83429573404</v>
      </c>
      <c r="E30" s="7" t="n">
        <v>193.660010618807</v>
      </c>
      <c r="F30" s="7" t="n">
        <v>136.74242121262</v>
      </c>
      <c r="G30" s="7" t="n">
        <v>2516.29982133497</v>
      </c>
      <c r="H30" s="7" t="n">
        <v>0.744381585434418</v>
      </c>
      <c r="I30" s="7" t="n">
        <v>0.144875636395078</v>
      </c>
      <c r="J30" s="7" t="n">
        <v>0.636415280794802</v>
      </c>
      <c r="V30" s="5"/>
      <c r="W30" s="5"/>
      <c r="X30" s="5"/>
      <c r="Y30" s="5"/>
      <c r="Z30" s="5"/>
      <c r="AA30" s="5"/>
    </row>
    <row r="31" customFormat="false" ht="15" hidden="false" customHeight="false" outlineLevel="0" collapsed="false">
      <c r="A31" s="3" t="s">
        <v>39</v>
      </c>
      <c r="B31" s="4" t="n">
        <v>98.74</v>
      </c>
      <c r="C31" s="4" t="n">
        <v>38.67</v>
      </c>
      <c r="D31" s="4" t="n">
        <v>1018.63</v>
      </c>
      <c r="E31" s="4" t="n">
        <v>232.47261</v>
      </c>
      <c r="F31" s="4" t="n">
        <v>163.81265</v>
      </c>
      <c r="G31" s="4" t="n">
        <v>3039.7958</v>
      </c>
      <c r="H31" s="4" t="n">
        <v>0.862026666666667</v>
      </c>
      <c r="I31" s="4" t="n">
        <v>0.4937</v>
      </c>
      <c r="J31" s="4" t="n">
        <v>0.773211111111111</v>
      </c>
    </row>
    <row r="32" customFormat="false" ht="15" hidden="false" customHeight="false" outlineLevel="0" collapsed="false">
      <c r="A32" s="3" t="s">
        <v>40</v>
      </c>
      <c r="B32" s="4" t="n">
        <v>77.6088128263976</v>
      </c>
      <c r="C32" s="4" t="n">
        <v>25.5547538479073</v>
      </c>
      <c r="D32" s="4" t="n">
        <v>627.751780115718</v>
      </c>
      <c r="E32" s="4" t="n">
        <v>162.488997897815</v>
      </c>
      <c r="F32" s="4" t="n">
        <v>114.40727073275</v>
      </c>
      <c r="G32" s="4" t="n">
        <v>2127.03321796959</v>
      </c>
      <c r="H32" s="4" t="n">
        <v>0.595720405366101</v>
      </c>
      <c r="I32" s="4" t="n">
        <v>0.388044064131988</v>
      </c>
      <c r="J32" s="4" t="n">
        <v>0.539549678264194</v>
      </c>
    </row>
    <row r="33" customFormat="false" ht="15" hidden="false" customHeight="false" outlineLevel="0" collapsed="false">
      <c r="A33" s="3" t="s">
        <v>41</v>
      </c>
      <c r="B33" s="4" t="n">
        <v>69.1274971660131</v>
      </c>
      <c r="C33" s="4" t="n">
        <v>65.3219690536232</v>
      </c>
      <c r="D33" s="4" t="n">
        <v>688.475054816762</v>
      </c>
      <c r="E33" s="4" t="n">
        <v>215.550492133585</v>
      </c>
      <c r="F33" s="4" t="n">
        <v>151.577345084754</v>
      </c>
      <c r="G33" s="4" t="n">
        <v>2809.56666602466</v>
      </c>
      <c r="H33" s="4" t="n">
        <v>0.786526520760414</v>
      </c>
      <c r="I33" s="4" t="n">
        <v>0.345637485830066</v>
      </c>
      <c r="J33" s="4" t="n">
        <v>0.693842932392574</v>
      </c>
      <c r="K33" s="5"/>
      <c r="L33" s="5"/>
      <c r="M33" s="5"/>
      <c r="N33" s="5"/>
    </row>
    <row r="34" customFormat="false" ht="15" hidden="false" customHeight="false" outlineLevel="0" collapsed="false">
      <c r="A34" s="3" t="s">
        <v>42</v>
      </c>
      <c r="B34" s="4" t="n">
        <v>65.4610889657758</v>
      </c>
      <c r="C34" s="4" t="n">
        <v>40.389911957491</v>
      </c>
      <c r="D34" s="4" t="n">
        <v>915.408422038641</v>
      </c>
      <c r="E34" s="4" t="n">
        <v>193.705111561963</v>
      </c>
      <c r="F34" s="4" t="n">
        <v>136.560137445659</v>
      </c>
      <c r="G34" s="4" t="n">
        <v>2527.7110146808</v>
      </c>
      <c r="H34" s="4" t="n">
        <v>0.725289330352922</v>
      </c>
      <c r="I34" s="4" t="n">
        <v>0.327305444828879</v>
      </c>
      <c r="J34" s="4" t="n">
        <v>0.640775046941754</v>
      </c>
      <c r="K34" s="5"/>
      <c r="L34" s="5"/>
      <c r="M34" s="5"/>
    </row>
    <row r="35" customFormat="false" ht="15" hidden="false" customHeight="false" outlineLevel="0" collapsed="false">
      <c r="A35" s="3" t="s">
        <v>43</v>
      </c>
      <c r="B35" s="4" t="n">
        <v>111.56448117436</v>
      </c>
      <c r="C35" s="4" t="n">
        <v>106.909434156435</v>
      </c>
      <c r="D35" s="4" t="n">
        <v>483.747223085452</v>
      </c>
      <c r="E35" s="4" t="n">
        <v>301.693508195642</v>
      </c>
      <c r="F35" s="4" t="n">
        <v>211.610668248187</v>
      </c>
      <c r="G35" s="4" t="n">
        <v>3934.40910836178</v>
      </c>
      <c r="H35" s="4" t="n">
        <v>1.06767784905853</v>
      </c>
      <c r="I35" s="4" t="n">
        <v>0.5578224058718</v>
      </c>
      <c r="J35" s="4" t="n">
        <v>0.951711808201195</v>
      </c>
      <c r="K35" s="5"/>
      <c r="L35" s="5"/>
      <c r="M35" s="5"/>
    </row>
    <row r="36" customFormat="false" ht="15" hidden="false" customHeight="false" outlineLevel="0" collapsed="false">
      <c r="A36" s="3" t="s">
        <v>44</v>
      </c>
      <c r="B36" s="4" t="n">
        <v>55.9789606122573</v>
      </c>
      <c r="C36" s="4" t="n">
        <v>33.9167299670255</v>
      </c>
      <c r="D36" s="4" t="n">
        <v>401.338374327966</v>
      </c>
      <c r="E36" s="4" t="n">
        <v>135.382939288357</v>
      </c>
      <c r="F36" s="4" t="n">
        <v>95.1756129836437</v>
      </c>
      <c r="G36" s="4" t="n">
        <v>1768.60264802554</v>
      </c>
      <c r="H36" s="4" t="n">
        <v>0.48995964331864</v>
      </c>
      <c r="I36" s="4" t="n">
        <v>0.279894803061286</v>
      </c>
      <c r="J36" s="4" t="n">
        <v>0.439399125327899</v>
      </c>
      <c r="K36" s="5"/>
      <c r="L36" s="5"/>
      <c r="M36" s="5"/>
    </row>
    <row r="37" customFormat="false" ht="15" hidden="false" customHeight="false" outlineLevel="0" collapsed="false">
      <c r="A37" s="3" t="s">
        <v>45</v>
      </c>
      <c r="B37" s="4" t="n">
        <v>133.887253783041</v>
      </c>
      <c r="C37" s="4" t="n">
        <v>136.189041032029</v>
      </c>
      <c r="D37" s="4" t="n">
        <v>587.087806113191</v>
      </c>
      <c r="E37" s="4" t="n">
        <v>373.843343529558</v>
      </c>
      <c r="F37" s="4" t="n">
        <v>262.199948016383</v>
      </c>
      <c r="G37" s="4" t="n">
        <v>4873.80474365191</v>
      </c>
      <c r="H37" s="4" t="n">
        <v>1.32293198647468</v>
      </c>
      <c r="I37" s="4" t="n">
        <v>0.669436268915207</v>
      </c>
      <c r="J37" s="4" t="n">
        <v>1.17682512971948</v>
      </c>
      <c r="K37" s="5"/>
      <c r="L37" s="5"/>
      <c r="M37" s="5"/>
    </row>
    <row r="38" customFormat="false" ht="15" hidden="false" customHeight="false" outlineLevel="0" collapsed="false">
      <c r="A38" s="3" t="s">
        <v>46</v>
      </c>
      <c r="B38" s="4" t="n">
        <v>71.4369014439794</v>
      </c>
      <c r="C38" s="4" t="n">
        <v>77.7264163338052</v>
      </c>
      <c r="D38" s="4" t="n">
        <v>452.884310609708</v>
      </c>
      <c r="E38" s="4" t="n">
        <v>217.457768718268</v>
      </c>
      <c r="F38" s="4" t="n">
        <v>152.640884428125</v>
      </c>
      <c r="G38" s="4" t="n">
        <v>2833.53853125004</v>
      </c>
      <c r="H38" s="4" t="n">
        <v>0.777716523352193</v>
      </c>
      <c r="I38" s="4" t="n">
        <v>0.357184507219897</v>
      </c>
      <c r="J38" s="4" t="n">
        <v>0.687784270262372</v>
      </c>
      <c r="K38" s="5"/>
      <c r="L38" s="5"/>
      <c r="M38" s="5"/>
    </row>
    <row r="39" customFormat="false" ht="15" hidden="false" customHeight="false" outlineLevel="0" collapsed="false">
      <c r="A39" s="3" t="s">
        <v>47</v>
      </c>
      <c r="B39" s="4" t="n">
        <v>41.73</v>
      </c>
      <c r="C39" s="4" t="n">
        <v>20.17</v>
      </c>
      <c r="D39" s="4" t="n">
        <v>525.24</v>
      </c>
      <c r="E39" s="4" t="n">
        <v>111.01658</v>
      </c>
      <c r="F39" s="4" t="n">
        <v>78.2692</v>
      </c>
      <c r="G39" s="4" t="n">
        <v>1450.0834</v>
      </c>
      <c r="H39" s="4" t="n">
        <v>0.41503</v>
      </c>
      <c r="I39" s="4" t="n">
        <v>0.20865</v>
      </c>
      <c r="J39" s="4" t="n">
        <v>0.369041666666667</v>
      </c>
      <c r="K39" s="5"/>
      <c r="L39" s="5"/>
      <c r="M39" s="5"/>
    </row>
    <row r="40" customFormat="false" ht="15" hidden="false" customHeight="false" outlineLevel="0" collapsed="false">
      <c r="A40" s="3" t="s">
        <v>48</v>
      </c>
      <c r="B40" s="4" t="n">
        <v>83.89</v>
      </c>
      <c r="C40" s="4" t="n">
        <v>31.38</v>
      </c>
      <c r="D40" s="4" t="n">
        <v>787.94</v>
      </c>
      <c r="E40" s="4" t="n">
        <v>189.43478</v>
      </c>
      <c r="F40" s="4" t="n">
        <v>133.4397</v>
      </c>
      <c r="G40" s="4" t="n">
        <v>2477.9184</v>
      </c>
      <c r="H40" s="4" t="n">
        <v>0.69918</v>
      </c>
      <c r="I40" s="4" t="n">
        <v>0.41945</v>
      </c>
      <c r="J40" s="4" t="n">
        <v>0.629255555555556</v>
      </c>
      <c r="K40" s="5"/>
      <c r="L40" s="5"/>
      <c r="M40" s="5"/>
    </row>
    <row r="41" customFormat="false" ht="15" hidden="false" customHeight="false" outlineLevel="0" collapsed="false">
      <c r="A41" s="3" t="s">
        <v>49</v>
      </c>
      <c r="B41" s="4" t="n">
        <v>61.81</v>
      </c>
      <c r="C41" s="4" t="n">
        <v>26.87</v>
      </c>
      <c r="D41" s="4" t="n">
        <v>659.4</v>
      </c>
      <c r="E41" s="4" t="n">
        <v>151.0079</v>
      </c>
      <c r="F41" s="4" t="n">
        <v>106.404</v>
      </c>
      <c r="G41" s="4" t="n">
        <v>1973.7846</v>
      </c>
      <c r="H41" s="4" t="n">
        <v>0.560183333333333</v>
      </c>
      <c r="I41" s="4" t="n">
        <v>0.30905</v>
      </c>
      <c r="J41" s="4" t="n">
        <v>0.501158333333333</v>
      </c>
      <c r="K41" s="5"/>
      <c r="L41" s="5"/>
      <c r="M41" s="5"/>
    </row>
    <row r="42" customFormat="false" ht="15" hidden="false" customHeight="false" outlineLevel="0" collapsed="false">
      <c r="A42" s="3" t="s">
        <v>50</v>
      </c>
      <c r="B42" s="4" t="n">
        <v>53.22</v>
      </c>
      <c r="C42" s="4" t="n">
        <v>26.58</v>
      </c>
      <c r="D42" s="4" t="n">
        <v>575.91</v>
      </c>
      <c r="E42" s="4" t="n">
        <v>135.57447</v>
      </c>
      <c r="F42" s="4" t="n">
        <v>95.50905</v>
      </c>
      <c r="G42" s="4" t="n">
        <v>1771.2096</v>
      </c>
      <c r="H42" s="4" t="n">
        <v>0.50227</v>
      </c>
      <c r="I42" s="4" t="n">
        <v>0.2661</v>
      </c>
      <c r="J42" s="4" t="n">
        <v>0.448125</v>
      </c>
      <c r="K42" s="5"/>
      <c r="L42" s="5"/>
      <c r="M42" s="5"/>
    </row>
    <row r="43" customFormat="false" ht="15" hidden="false" customHeight="false" outlineLevel="0" collapsed="false">
      <c r="A43" s="3" t="s">
        <v>51</v>
      </c>
      <c r="B43" s="4" t="n">
        <v>43.21</v>
      </c>
      <c r="C43" s="4" t="n">
        <v>26.37</v>
      </c>
      <c r="D43" s="4" t="n">
        <v>753.56</v>
      </c>
      <c r="E43" s="4" t="n">
        <v>138.94322</v>
      </c>
      <c r="F43" s="4" t="n">
        <v>98.0628</v>
      </c>
      <c r="G43" s="4" t="n">
        <v>1812.4506</v>
      </c>
      <c r="H43" s="4" t="n">
        <v>0.52707</v>
      </c>
      <c r="I43" s="4" t="n">
        <v>0.21605</v>
      </c>
      <c r="J43" s="4" t="n">
        <v>0.463230555555555</v>
      </c>
      <c r="K43" s="5"/>
      <c r="L43" s="5"/>
      <c r="M43" s="5"/>
    </row>
    <row r="44" customFormat="false" ht="15" hidden="false" customHeight="false" outlineLevel="0" collapsed="false">
      <c r="A44" s="3" t="s">
        <v>52</v>
      </c>
      <c r="B44" s="4" t="n">
        <v>57.26074697758</v>
      </c>
      <c r="C44" s="4" t="n">
        <v>24.996976321411</v>
      </c>
      <c r="D44" s="4" t="n">
        <v>759.450455799857</v>
      </c>
      <c r="E44" s="4" t="n">
        <v>151.484108213787</v>
      </c>
      <c r="F44" s="4" t="n">
        <v>106.849274274709</v>
      </c>
      <c r="G44" s="4" t="n">
        <v>1979.02692867626</v>
      </c>
      <c r="H44" s="4" t="n">
        <v>0.569004190132274</v>
      </c>
      <c r="I44" s="4" t="n">
        <v>0.2863037348879</v>
      </c>
      <c r="J44" s="4" t="n">
        <v>0.505981684542217</v>
      </c>
      <c r="K44" s="5"/>
      <c r="L44" s="5"/>
      <c r="M44" s="5"/>
    </row>
    <row r="45" customFormat="false" ht="15" hidden="false" customHeight="false" outlineLevel="0" collapsed="false">
      <c r="A45" s="3" t="s">
        <v>53</v>
      </c>
      <c r="B45" s="4" t="n">
        <v>45.7273041346659</v>
      </c>
      <c r="C45" s="4" t="n">
        <v>22.3672197643263</v>
      </c>
      <c r="D45" s="4" t="n">
        <v>687.106412014448</v>
      </c>
      <c r="E45" s="4" t="n">
        <v>130.619622122765</v>
      </c>
      <c r="F45" s="4" t="n">
        <v>92.1671853193871</v>
      </c>
      <c r="G45" s="4" t="n">
        <v>1705.43479560689</v>
      </c>
      <c r="H45" s="4" t="n">
        <v>0.493295916608667</v>
      </c>
      <c r="I45" s="4" t="n">
        <v>0.22863652067333</v>
      </c>
      <c r="J45" s="4" t="n">
        <v>0.436483988359815</v>
      </c>
      <c r="K45" s="5"/>
      <c r="L45" s="5"/>
      <c r="M45" s="5"/>
    </row>
    <row r="46" customFormat="false" ht="15" hidden="false" customHeight="false" outlineLevel="0" collapsed="false">
      <c r="A46" s="3" t="s">
        <v>54</v>
      </c>
      <c r="B46" s="4" t="n">
        <v>45.5491824648729</v>
      </c>
      <c r="C46" s="4" t="n">
        <v>24.5460341501638</v>
      </c>
      <c r="D46" s="4" t="n">
        <v>799.125253879099</v>
      </c>
      <c r="E46" s="4" t="n">
        <v>142.182655848298</v>
      </c>
      <c r="F46" s="4" t="n">
        <v>100.382350838925</v>
      </c>
      <c r="G46" s="4" t="n">
        <v>1855.31622012604</v>
      </c>
      <c r="H46" s="4" t="n">
        <v>0.540935863593429</v>
      </c>
      <c r="I46" s="4" t="n">
        <v>0.227745912324364</v>
      </c>
      <c r="J46" s="4" t="n">
        <v>0.476084987697231</v>
      </c>
      <c r="K46" s="5"/>
      <c r="L46" s="5"/>
      <c r="M46" s="5"/>
    </row>
    <row r="47" customFormat="false" ht="15" hidden="false" customHeight="false" outlineLevel="0" collapsed="false">
      <c r="A47" s="3" t="s">
        <v>55</v>
      </c>
      <c r="B47" s="4" t="n">
        <v>54.0352274345652</v>
      </c>
      <c r="C47" s="4" t="n">
        <v>16.5903829388755</v>
      </c>
      <c r="D47" s="4" t="n">
        <v>633.978545303534</v>
      </c>
      <c r="E47" s="4" t="n">
        <v>126.575823025529</v>
      </c>
      <c r="F47" s="4" t="n">
        <v>89.2838621347656</v>
      </c>
      <c r="G47" s="4" t="n">
        <v>1655.66342558882</v>
      </c>
      <c r="H47" s="4" t="n">
        <v>0.474395521244106</v>
      </c>
      <c r="I47" s="4" t="n">
        <v>0.270176137172826</v>
      </c>
      <c r="J47" s="4" t="n">
        <v>0.425349171833736</v>
      </c>
      <c r="K47" s="5"/>
      <c r="L47" s="5"/>
      <c r="M47" s="5"/>
    </row>
    <row r="48" customFormat="false" ht="15" hidden="false" customHeight="false" outlineLevel="0" collapsed="false">
      <c r="A48" s="3" t="s">
        <v>56</v>
      </c>
      <c r="B48" s="4" t="n">
        <v>54.5899754504705</v>
      </c>
      <c r="C48" s="4" t="n">
        <v>26.8409911266747</v>
      </c>
      <c r="D48" s="4" t="n">
        <v>634.3871010169</v>
      </c>
      <c r="E48" s="4" t="n">
        <v>141.820399539917</v>
      </c>
      <c r="F48" s="4" t="n">
        <v>99.9452644979336</v>
      </c>
      <c r="G48" s="4" t="n">
        <v>1852.64307217955</v>
      </c>
      <c r="H48" s="4" t="n">
        <v>0.527633907473909</v>
      </c>
      <c r="I48" s="4" t="n">
        <v>0.272949877252352</v>
      </c>
      <c r="J48" s="4" t="n">
        <v>0.470022687034074</v>
      </c>
      <c r="K48" s="5"/>
      <c r="L48" s="5"/>
      <c r="M48" s="5"/>
    </row>
    <row r="49" customFormat="false" ht="15" hidden="false" customHeight="false" outlineLevel="0" collapsed="false">
      <c r="A49" s="3" t="s">
        <v>57</v>
      </c>
      <c r="B49" s="4" t="n">
        <v>40.26</v>
      </c>
      <c r="C49" s="4" t="n">
        <v>15.14</v>
      </c>
      <c r="D49" s="4" t="n">
        <v>666.06</v>
      </c>
      <c r="E49" s="4" t="n">
        <v>113.19682</v>
      </c>
      <c r="F49" s="4" t="n">
        <v>79.9553</v>
      </c>
      <c r="G49" s="4" t="n">
        <v>1478.5868</v>
      </c>
      <c r="H49" s="4" t="n">
        <v>0.43192</v>
      </c>
      <c r="I49" s="4" t="n">
        <v>0.2013</v>
      </c>
      <c r="J49" s="4" t="n">
        <v>0.3823</v>
      </c>
      <c r="K49" s="5"/>
      <c r="L49" s="5"/>
      <c r="M49" s="5"/>
    </row>
    <row r="50" customFormat="false" ht="15" hidden="false" customHeight="false" outlineLevel="0" collapsed="false">
      <c r="A50" s="3" t="s">
        <v>58</v>
      </c>
      <c r="B50" s="4" t="n">
        <v>68.69</v>
      </c>
      <c r="C50" s="4" t="n">
        <v>26.01</v>
      </c>
      <c r="D50" s="4" t="n">
        <v>288.66</v>
      </c>
      <c r="E50" s="4" t="n">
        <v>128.11112</v>
      </c>
      <c r="F50" s="4" t="n">
        <v>89.9693</v>
      </c>
      <c r="G50" s="4" t="n">
        <v>1678.2602</v>
      </c>
      <c r="H50" s="4" t="n">
        <v>0.455236666666667</v>
      </c>
      <c r="I50" s="4" t="n">
        <v>0.34345</v>
      </c>
      <c r="J50" s="4" t="n">
        <v>0.417525</v>
      </c>
      <c r="K50" s="5"/>
      <c r="L50" s="5"/>
      <c r="M50" s="5"/>
    </row>
    <row r="51" customFormat="false" ht="15" hidden="false" customHeight="false" outlineLevel="0" collapsed="false">
      <c r="A51" s="3" t="s">
        <v>59</v>
      </c>
      <c r="B51" s="4" t="n">
        <v>198.411572801985</v>
      </c>
      <c r="C51" s="4" t="n">
        <v>127.716695408045</v>
      </c>
      <c r="D51" s="4" t="n">
        <v>606.530713184439</v>
      </c>
      <c r="E51" s="4" t="n">
        <v>427.749312150692</v>
      </c>
      <c r="F51" s="4" t="n">
        <v>299.963985594579</v>
      </c>
      <c r="G51" s="4" t="n">
        <v>5591.15013431524</v>
      </c>
      <c r="H51" s="4" t="n">
        <v>1.50213229077499</v>
      </c>
      <c r="I51" s="4" t="n">
        <v>0.992057864009927</v>
      </c>
      <c r="J51" s="4" t="n">
        <v>1.36200556053582</v>
      </c>
      <c r="K51" s="5"/>
      <c r="L51" s="5"/>
      <c r="M51" s="5"/>
    </row>
    <row r="52" customFormat="false" ht="15" hidden="false" customHeight="false" outlineLevel="0" collapsed="false">
      <c r="A52" s="3" t="s">
        <v>60</v>
      </c>
      <c r="B52" s="4" t="n">
        <v>184.865724553711</v>
      </c>
      <c r="C52" s="4" t="n">
        <v>174.151049182324</v>
      </c>
      <c r="D52" s="4" t="n">
        <v>666.834199077417</v>
      </c>
      <c r="E52" s="4" t="n">
        <v>485.247958213396</v>
      </c>
      <c r="F52" s="4" t="n">
        <v>340.23293731918</v>
      </c>
      <c r="G52" s="4" t="n">
        <v>6329.28476007426</v>
      </c>
      <c r="H52" s="4" t="n">
        <v>1.70925239411646</v>
      </c>
      <c r="I52" s="4" t="n">
        <v>0.924328622768556</v>
      </c>
      <c r="J52" s="4" t="n">
        <v>1.52708017540467</v>
      </c>
      <c r="K52" s="5"/>
      <c r="L52" s="5"/>
      <c r="M52" s="5"/>
    </row>
    <row r="53" customFormat="false" ht="15" hidden="false" customHeight="false" outlineLevel="0" collapsed="false">
      <c r="A53" s="3" t="s">
        <v>61</v>
      </c>
      <c r="B53" s="4" t="n">
        <v>266.908457515119</v>
      </c>
      <c r="C53" s="4" t="n">
        <v>275.437172961731</v>
      </c>
      <c r="D53" s="4" t="n">
        <v>579.273134593706</v>
      </c>
      <c r="E53" s="4" t="n">
        <v>705.38764621411</v>
      </c>
      <c r="F53" s="4" t="n">
        <v>494.133115624968</v>
      </c>
      <c r="G53" s="4" t="n">
        <v>9197.71132496743</v>
      </c>
      <c r="H53" s="4" t="n">
        <v>2.45997176805695</v>
      </c>
      <c r="I53" s="4" t="n">
        <v>1.33454228757559</v>
      </c>
      <c r="J53" s="4" t="n">
        <v>2.19825894977808</v>
      </c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</row>
    <row r="54" customFormat="false" ht="15" hidden="false" customHeight="false" outlineLevel="0" collapsed="false">
      <c r="A54" s="3" t="s">
        <v>62</v>
      </c>
      <c r="B54" s="4" t="n">
        <v>12.9079351744975</v>
      </c>
      <c r="C54" s="4" t="n">
        <v>3.5204361838532</v>
      </c>
      <c r="D54" s="4" t="n">
        <v>13.8677776837918</v>
      </c>
      <c r="E54" s="4" t="n">
        <v>19.0099777990596</v>
      </c>
      <c r="F54" s="4" t="n">
        <v>13.31871857861</v>
      </c>
      <c r="G54" s="4" t="n">
        <v>249.756091348069</v>
      </c>
      <c r="H54" s="4" t="n">
        <v>0.0652512240621883</v>
      </c>
      <c r="I54" s="4" t="n">
        <v>0.0645396758724876</v>
      </c>
      <c r="J54" s="4" t="n">
        <v>0.0615470951487667</v>
      </c>
      <c r="K54" s="5"/>
      <c r="L54" s="5"/>
      <c r="M54" s="5"/>
    </row>
    <row r="55" customFormat="false" ht="15" hidden="false" customHeight="false" outlineLevel="0" collapsed="false">
      <c r="A55" s="3" t="s">
        <v>63</v>
      </c>
      <c r="B55" s="4" t="n">
        <v>87.9701607519417</v>
      </c>
      <c r="C55" s="4" t="n">
        <v>36.1964677328275</v>
      </c>
      <c r="D55" s="4" t="n">
        <v>686.526816607029</v>
      </c>
      <c r="E55" s="4" t="n">
        <v>192.593674488626</v>
      </c>
      <c r="F55" s="4" t="n">
        <v>135.534555172573</v>
      </c>
      <c r="G55" s="4" t="n">
        <v>2519.43853931073</v>
      </c>
      <c r="H55" s="4" t="n">
        <v>0.70305848003962</v>
      </c>
      <c r="I55" s="4" t="n">
        <v>0.439850803759709</v>
      </c>
      <c r="J55" s="4" t="n">
        <v>0.63475437822854</v>
      </c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</row>
    <row r="56" customFormat="false" ht="15" hidden="false" customHeight="false" outlineLevel="0" collapsed="false">
      <c r="A56" s="3" t="s">
        <v>64</v>
      </c>
      <c r="B56" s="4" t="n">
        <v>55.6174319289805</v>
      </c>
      <c r="C56" s="4" t="n">
        <v>138.673533469228</v>
      </c>
      <c r="D56" s="4" t="n">
        <v>530.482762864596</v>
      </c>
      <c r="E56" s="4" t="n">
        <v>294.76775753055</v>
      </c>
      <c r="F56" s="4" t="n">
        <f aca="false">C56+0.7*B56+0.055*D56</f>
        <v>206.782287777067</v>
      </c>
      <c r="G56" s="4" t="n">
        <f aca="false">D56+13.24*B56+18.46*C56</f>
        <v>3826.77098944624</v>
      </c>
      <c r="H56" s="4" t="n">
        <f aca="false">B56/300+C56/200+D56/3000</f>
        <v>1.05558669473094</v>
      </c>
      <c r="I56" s="4" t="n">
        <f aca="false">B56/200</f>
        <v>0.278087159644903</v>
      </c>
      <c r="J56" s="4" t="n">
        <f aca="false">B56/360+C56/240+D56/3600</f>
        <v>0.879655578942448</v>
      </c>
      <c r="K56" s="5"/>
      <c r="L56" s="5"/>
      <c r="M56" s="5"/>
    </row>
    <row r="57" customFormat="false" ht="15" hidden="false" customHeight="false" outlineLevel="0" collapsed="false">
      <c r="A57" s="6" t="s">
        <v>65</v>
      </c>
      <c r="B57" s="7" t="n">
        <v>248.294225727195</v>
      </c>
      <c r="C57" s="7" t="n">
        <v>702.128339245144</v>
      </c>
      <c r="D57" s="7" t="n">
        <v>557.153026902359</v>
      </c>
      <c r="E57" s="7" t="n">
        <v>1295.23853391923</v>
      </c>
      <c r="F57" s="7" t="n">
        <f aca="false">C57+0.7*B57+0.055*D57</f>
        <v>906.57771373381</v>
      </c>
      <c r="G57" s="7" t="n">
        <f aca="false">D57+13.24*B57+18.46*C57</f>
        <v>16805.8577179958</v>
      </c>
      <c r="H57" s="7" t="n">
        <f aca="false">B57/300+C57/200+D57/3000</f>
        <v>4.52400679095049</v>
      </c>
      <c r="I57" s="7" t="n">
        <f aca="false">B57/200</f>
        <v>1.24147112863597</v>
      </c>
      <c r="J57" s="7" t="n">
        <f aca="false">B57/360+C57/240+D57/3600</f>
        <v>3.77000565912541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</row>
    <row r="58" customFormat="false" ht="15" hidden="false" customHeight="false" outlineLevel="0" collapsed="false">
      <c r="A58" s="3" t="s">
        <v>66</v>
      </c>
      <c r="B58" s="4" t="n">
        <v>94.1122451077939</v>
      </c>
      <c r="C58" s="4" t="n">
        <v>23.8251114893949</v>
      </c>
      <c r="D58" s="4" t="n">
        <v>82.6385057690048</v>
      </c>
      <c r="E58" s="4" t="n">
        <v>134.545319481842</v>
      </c>
      <c r="F58" s="4" t="n">
        <v>94.2488008821459</v>
      </c>
      <c r="G58" s="4" t="n">
        <v>1768.49618909043</v>
      </c>
      <c r="H58" s="4" t="n">
        <v>0.460379209729289</v>
      </c>
      <c r="I58" s="4" t="n">
        <v>0.470561225538969</v>
      </c>
      <c r="J58" s="4" t="n">
        <v>0.435933922056515</v>
      </c>
    </row>
    <row r="59" customFormat="false" ht="15" hidden="false" customHeight="false" outlineLevel="0" collapsed="false">
      <c r="A59" s="3" t="s">
        <v>67</v>
      </c>
      <c r="B59" s="4" t="n">
        <v>174.882591622847</v>
      </c>
      <c r="C59" s="4" t="n">
        <v>43.0686140547632</v>
      </c>
      <c r="D59" s="4" t="n">
        <v>209.840548081057</v>
      </c>
      <c r="E59" s="4" t="n">
        <v>252.6284319234</v>
      </c>
      <c r="F59" s="4" t="n">
        <v>177.027658335214</v>
      </c>
      <c r="G59" s="4" t="n">
        <v>3320.33267661848</v>
      </c>
      <c r="H59" s="4" t="n">
        <v>0.868231891710325</v>
      </c>
      <c r="I59" s="4" t="n">
        <v>0.874412958114235</v>
      </c>
      <c r="J59" s="4" t="n">
        <v>0.820683571771297</v>
      </c>
    </row>
    <row r="60" customFormat="false" ht="15" hidden="false" customHeight="false" outlineLevel="0" collapsed="false">
      <c r="A60" s="3" t="s">
        <v>68</v>
      </c>
      <c r="B60" s="4" t="n">
        <v>85.4173205928975</v>
      </c>
      <c r="C60" s="4" t="n">
        <v>25.7137888832319</v>
      </c>
      <c r="D60" s="4" t="n">
        <v>107.377732857944</v>
      </c>
      <c r="E60" s="4" t="n">
        <v>130.456124125981</v>
      </c>
      <c r="F60" s="4" t="n">
        <v>91.4116886054471</v>
      </c>
      <c r="G60" s="4" t="n">
        <v>1712.97960029237</v>
      </c>
      <c r="H60" s="4" t="n">
        <v>0.449085924011799</v>
      </c>
      <c r="I60" s="4" t="n">
        <v>0.427086602964488</v>
      </c>
      <c r="J60" s="4" t="n">
        <v>0.421692337005887</v>
      </c>
      <c r="K60" s="5"/>
      <c r="L60" s="5"/>
      <c r="M60" s="5"/>
    </row>
    <row r="61" customFormat="false" ht="15" hidden="false" customHeight="false" outlineLevel="0" collapsed="false">
      <c r="A61" s="3" t="s">
        <v>69</v>
      </c>
      <c r="B61" s="4" t="n">
        <v>91.4111553526703</v>
      </c>
      <c r="C61" s="4" t="n">
        <v>24.8601055102109</v>
      </c>
      <c r="D61" s="4" t="n">
        <v>123.149207496554</v>
      </c>
      <c r="E61" s="4" t="n">
        <v>136.443595209507</v>
      </c>
      <c r="F61" s="4" t="n">
        <v>95.6211206693906</v>
      </c>
      <c r="G61" s="4" t="n">
        <v>1792.3504520844</v>
      </c>
      <c r="H61" s="4" t="n">
        <v>0.470054114558807</v>
      </c>
      <c r="I61" s="4" t="n">
        <v>0.457055776763352</v>
      </c>
      <c r="J61" s="4" t="n">
        <v>0.442495737328267</v>
      </c>
      <c r="K61" s="5"/>
      <c r="L61" s="5"/>
      <c r="M61" s="5"/>
    </row>
    <row r="62" customFormat="false" ht="15" hidden="false" customHeight="false" outlineLevel="0" collapsed="false">
      <c r="A62" s="3" t="s">
        <v>70</v>
      </c>
      <c r="B62" s="4" t="n">
        <v>88.8221065424112</v>
      </c>
      <c r="C62" s="4" t="n">
        <v>29.9718045880804</v>
      </c>
      <c r="D62" s="4" t="n">
        <v>104.2527031103</v>
      </c>
      <c r="E62" s="4" t="n">
        <v>139.709245242859</v>
      </c>
      <c r="F62" s="4" t="n">
        <v>97.8811778388348</v>
      </c>
      <c r="G62" s="4" t="n">
        <v>1833.53690642779</v>
      </c>
      <c r="H62" s="4" t="n">
        <v>0.480683612451873</v>
      </c>
      <c r="I62" s="4" t="n">
        <v>0.444110532712056</v>
      </c>
      <c r="J62" s="4" t="n">
        <v>0.449915291789011</v>
      </c>
      <c r="K62" s="5"/>
      <c r="L62" s="5"/>
      <c r="M62" s="5"/>
    </row>
    <row r="63" customFormat="false" ht="15" hidden="false" customHeight="false" outlineLevel="0" collapsed="false">
      <c r="A63" s="3" t="s">
        <v>71</v>
      </c>
      <c r="B63" s="4" t="n">
        <v>89.5333861710499</v>
      </c>
      <c r="C63" s="4" t="n">
        <v>35.9417131299116</v>
      </c>
      <c r="D63" s="4" t="n">
        <v>117.175388151357</v>
      </c>
      <c r="E63" s="4" t="n">
        <v>149.952540834478</v>
      </c>
      <c r="F63" s="4" t="n">
        <v>105.059729797971</v>
      </c>
      <c r="G63" s="4" t="n">
        <v>1966.08144543422</v>
      </c>
      <c r="H63" s="4" t="n">
        <v>0.517211648936843</v>
      </c>
      <c r="I63" s="4" t="n">
        <v>0.447666930855249</v>
      </c>
      <c r="J63" s="4" t="n">
        <v>0.480750477542397</v>
      </c>
      <c r="K63" s="5"/>
      <c r="L63" s="5"/>
      <c r="M63" s="5"/>
    </row>
    <row r="64" customFormat="false" ht="15" hidden="false" customHeight="false" outlineLevel="0" collapsed="false">
      <c r="A64" s="3" t="s">
        <v>72</v>
      </c>
      <c r="B64" s="4" t="n">
        <v>82.4303299435119</v>
      </c>
      <c r="C64" s="4" t="n">
        <v>35.4566825975335</v>
      </c>
      <c r="D64" s="4" t="n">
        <v>111.476023384077</v>
      </c>
      <c r="E64" s="4" t="n">
        <v>141.717039858559</v>
      </c>
      <c r="F64" s="4" t="n">
        <v>99.2890948441161</v>
      </c>
      <c r="G64" s="4" t="n">
        <v>1857.38395258664</v>
      </c>
      <c r="H64" s="4" t="n">
        <v>0.4892098539274</v>
      </c>
      <c r="I64" s="4" t="n">
        <v>0.41215164971756</v>
      </c>
      <c r="J64" s="4" t="n">
        <v>0.453469506019229</v>
      </c>
      <c r="K64" s="5"/>
      <c r="L64" s="5"/>
      <c r="M64" s="5"/>
    </row>
    <row r="65" customFormat="false" ht="15" hidden="false" customHeight="false" outlineLevel="0" collapsed="false">
      <c r="A65" s="3" t="s">
        <v>73</v>
      </c>
      <c r="B65" s="4" t="n">
        <v>91.7131544447168</v>
      </c>
      <c r="C65" s="4" t="n">
        <v>36.1864299792778</v>
      </c>
      <c r="D65" s="4" t="n">
        <v>253.90551406723</v>
      </c>
      <c r="E65" s="4" t="n">
        <v>163.010473898261</v>
      </c>
      <c r="F65" s="4" t="n">
        <v>114.350441364277</v>
      </c>
      <c r="G65" s="4" t="n">
        <v>2136.18917633275</v>
      </c>
      <c r="H65" s="4" t="n">
        <v>0.571277836067855</v>
      </c>
      <c r="I65" s="4" t="n">
        <v>0.458565772223584</v>
      </c>
      <c r="J65" s="4" t="n">
        <v>0.527016615859166</v>
      </c>
      <c r="K65" s="8"/>
      <c r="L65" s="8"/>
    </row>
    <row r="66" customFormat="false" ht="15" hidden="false" customHeight="false" outlineLevel="0" collapsed="false">
      <c r="A66" s="3" t="s">
        <v>74</v>
      </c>
      <c r="B66" s="4" t="n">
        <v>96.378160861471</v>
      </c>
      <c r="C66" s="4" t="n">
        <v>31.3421650599641</v>
      </c>
      <c r="D66" s="4" t="n">
        <v>189.74649715495</v>
      </c>
      <c r="E66" s="4" t="n">
        <v>155.807937178151</v>
      </c>
      <c r="F66" s="4" t="n">
        <v>109.242935006516</v>
      </c>
      <c r="G66" s="4" t="n">
        <v>2044.36971396776</v>
      </c>
      <c r="H66" s="4" t="n">
        <v>0.541220193889707</v>
      </c>
      <c r="I66" s="4" t="n">
        <v>0.481890804307355</v>
      </c>
      <c r="J66" s="4" t="n">
        <v>0.50456025094224</v>
      </c>
      <c r="K66" s="8"/>
      <c r="L66" s="8"/>
    </row>
    <row r="67" customFormat="false" ht="15" hidden="false" customHeight="false" outlineLevel="0" collapsed="false">
      <c r="A67" s="3" t="s">
        <v>75</v>
      </c>
      <c r="B67" s="4" t="n">
        <v>94.6422047880665</v>
      </c>
      <c r="C67" s="4" t="n">
        <v>29.1386869181854</v>
      </c>
      <c r="D67" s="4" t="n">
        <v>199.575719498463</v>
      </c>
      <c r="E67" s="4" t="n">
        <v>151.677857482453</v>
      </c>
      <c r="F67" s="4" t="n">
        <v>106.364894842247</v>
      </c>
      <c r="G67" s="4" t="n">
        <v>1990.53867140217</v>
      </c>
      <c r="H67" s="4" t="n">
        <v>0.52769269038397</v>
      </c>
      <c r="I67" s="4" t="n">
        <v>0.473211023940332</v>
      </c>
      <c r="J67" s="4" t="n">
        <v>0.492322911313345</v>
      </c>
      <c r="K67" s="8"/>
      <c r="L67" s="8"/>
    </row>
    <row r="68" customFormat="false" ht="15" hidden="false" customHeight="false" outlineLevel="0" collapsed="false">
      <c r="A68" s="3" t="s">
        <v>76</v>
      </c>
      <c r="B68" s="4" t="n">
        <v>77.2264692953094</v>
      </c>
      <c r="C68" s="4" t="n">
        <v>33.2640709885411</v>
      </c>
      <c r="D68" s="4" t="n">
        <v>213.00350815979</v>
      </c>
      <c r="E68" s="4" t="n">
        <v>141.195360937227</v>
      </c>
      <c r="F68" s="4" t="n">
        <v>99.0377924440461</v>
      </c>
      <c r="G68" s="4" t="n">
        <v>1849.53671207816</v>
      </c>
      <c r="H68" s="4" t="n">
        <v>0.494743088647</v>
      </c>
      <c r="I68" s="4" t="n">
        <v>0.386132346476547</v>
      </c>
      <c r="J68" s="4" t="n">
        <v>0.455189501258783</v>
      </c>
      <c r="K68" s="8"/>
      <c r="L68" s="8"/>
    </row>
    <row r="69" customFormat="false" ht="15" hidden="false" customHeight="false" outlineLevel="0" collapsed="false">
      <c r="A69" s="3" t="s">
        <v>77</v>
      </c>
      <c r="B69" s="4" t="n">
        <v>41.2123179838298</v>
      </c>
      <c r="C69" s="4" t="n">
        <v>15.7354311039106</v>
      </c>
      <c r="D69" s="4" t="n">
        <v>211.67217531665</v>
      </c>
      <c r="E69" s="4" t="n">
        <v>80.0127419618041</v>
      </c>
      <c r="F69" s="4" t="n">
        <v>56.2260233350073</v>
      </c>
      <c r="G69" s="4" t="n">
        <v>1047.79932360075</v>
      </c>
      <c r="H69" s="4" t="n">
        <v>0.286608940571203</v>
      </c>
      <c r="I69" s="4" t="n">
        <v>0.206061589919149</v>
      </c>
      <c r="J69" s="4" t="n">
        <v>0.261736516022574</v>
      </c>
    </row>
    <row r="70" customFormat="false" ht="15" hidden="false" customHeight="false" outlineLevel="0" collapsed="false">
      <c r="A70" s="3" t="s">
        <v>78</v>
      </c>
      <c r="B70" s="4" t="n">
        <v>70.0230371880554</v>
      </c>
      <c r="C70" s="4" t="n">
        <v>34.8574623715816</v>
      </c>
      <c r="D70" s="4" t="n">
        <v>221.456954487036</v>
      </c>
      <c r="E70" s="4" t="n">
        <v>136.921393874919</v>
      </c>
      <c r="F70" s="4" t="n">
        <v>96.0537209000074</v>
      </c>
      <c r="G70" s="4" t="n">
        <v>1792.03072223629</v>
      </c>
      <c r="H70" s="4" t="n">
        <v>0.481516420647105</v>
      </c>
      <c r="I70" s="4" t="n">
        <v>0.350115185940277</v>
      </c>
      <c r="J70" s="4" t="n">
        <v>0.440165371199285</v>
      </c>
    </row>
    <row r="71" customFormat="false" ht="15" hidden="false" customHeight="false" outlineLevel="0" collapsed="false">
      <c r="A71" s="3" t="s">
        <v>79</v>
      </c>
      <c r="B71" s="4" t="n">
        <v>100.917191636039</v>
      </c>
      <c r="C71" s="4" t="n">
        <v>36.4923084901962</v>
      </c>
      <c r="D71" s="4" t="n">
        <v>176.503725582384</v>
      </c>
      <c r="E71" s="4" t="n">
        <v>166.691979646863</v>
      </c>
      <c r="F71" s="4" t="n">
        <v>116.842047542455</v>
      </c>
      <c r="G71" s="4" t="n">
        <v>2186.29535757257</v>
      </c>
      <c r="H71" s="4" t="n">
        <v>0.577686756431906</v>
      </c>
      <c r="I71" s="4" t="n">
        <v>0.504585958180196</v>
      </c>
      <c r="J71" s="4" t="n">
        <v>0.537470736824388</v>
      </c>
    </row>
    <row r="72" customFormat="false" ht="15" hidden="false" customHeight="false" outlineLevel="0" collapsed="false">
      <c r="A72" s="3" t="s">
        <v>80</v>
      </c>
      <c r="B72" s="4" t="n">
        <v>84.4539451075858</v>
      </c>
      <c r="C72" s="4" t="n">
        <v>29.4932327940565</v>
      </c>
      <c r="D72" s="4" t="n">
        <v>118.340073349997</v>
      </c>
      <c r="E72" s="4" t="n">
        <v>135.741453651036</v>
      </c>
      <c r="F72" s="4" t="n">
        <v>95.1196984036164</v>
      </c>
      <c r="G72" s="4" t="n">
        <v>1780.95538395272</v>
      </c>
      <c r="H72" s="4" t="n">
        <v>0.468426005445567</v>
      </c>
      <c r="I72" s="4" t="n">
        <v>0.422269725537929</v>
      </c>
      <c r="J72" s="4" t="n">
        <v>0.437273862931076</v>
      </c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</row>
    <row r="73" customFormat="false" ht="15" hidden="false" customHeight="false" outlineLevel="0" collapsed="false">
      <c r="A73" s="3" t="s">
        <v>81</v>
      </c>
      <c r="B73" s="4" t="n">
        <v>115.72960181966</v>
      </c>
      <c r="C73" s="4" t="n">
        <v>39.4855136275358</v>
      </c>
      <c r="D73" s="4" t="n">
        <v>142.753453490882</v>
      </c>
      <c r="E73" s="4" t="n">
        <v>183.185902225835</v>
      </c>
      <c r="F73" s="4" t="n">
        <v>128.347674843297</v>
      </c>
      <c r="G73" s="4" t="n">
        <v>2403.9159631475</v>
      </c>
      <c r="H73" s="4" t="n">
        <v>0.630777392033508</v>
      </c>
      <c r="I73" s="4" t="n">
        <v>0.578648009098302</v>
      </c>
      <c r="J73" s="4" t="n">
        <v>0.589942049927735</v>
      </c>
    </row>
    <row r="74" customFormat="false" ht="15" hidden="false" customHeight="false" outlineLevel="0" collapsed="false">
      <c r="A74" s="3" t="s">
        <v>82</v>
      </c>
      <c r="B74" s="4" t="n">
        <v>100.746102269808</v>
      </c>
      <c r="C74" s="4" t="n">
        <v>43.4351766469217</v>
      </c>
      <c r="D74" s="4" t="n">
        <v>111.937868335275</v>
      </c>
      <c r="E74" s="4" t="n">
        <v>171.477620736722</v>
      </c>
      <c r="F74" s="4" t="n">
        <v>120.114030994227</v>
      </c>
      <c r="G74" s="4" t="n">
        <v>2247.62962328971</v>
      </c>
      <c r="H74" s="4" t="n">
        <v>0.590308846912393</v>
      </c>
      <c r="I74" s="4" t="n">
        <v>0.503730511349039</v>
      </c>
      <c r="J74" s="4" t="n">
        <v>0.547894095910221</v>
      </c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</row>
    <row r="75" customFormat="false" ht="15" hidden="false" customHeight="false" outlineLevel="0" collapsed="false">
      <c r="A75" s="3" t="s">
        <v>83</v>
      </c>
      <c r="B75" s="4" t="n">
        <v>82.5881560164252</v>
      </c>
      <c r="C75" s="4" t="n">
        <v>28.2294921765407</v>
      </c>
      <c r="D75" s="4" t="n">
        <v>198.049660341933</v>
      </c>
      <c r="E75" s="4" t="n">
        <v>138.206153675207</v>
      </c>
      <c r="F75" s="4" t="n">
        <v>96.9339327068447</v>
      </c>
      <c r="G75" s="4" t="n">
        <v>1812.63327157835</v>
      </c>
      <c r="H75" s="4" t="n">
        <v>0.482457867718099</v>
      </c>
      <c r="I75" s="4" t="n">
        <v>0.412940780082126</v>
      </c>
      <c r="J75" s="4" t="n">
        <v>0.44793053199643</v>
      </c>
      <c r="K75" s="2"/>
      <c r="L75" s="2"/>
      <c r="M75" s="2"/>
      <c r="N75" s="2"/>
      <c r="O75" s="2"/>
      <c r="P75" s="2"/>
      <c r="Q75" s="2"/>
      <c r="R75" s="2"/>
      <c r="S75" s="2"/>
    </row>
    <row r="76" customFormat="false" ht="15" hidden="false" customHeight="false" outlineLevel="0" collapsed="false">
      <c r="A76" s="3" t="s">
        <v>84</v>
      </c>
      <c r="B76" s="4" t="n">
        <v>30.6451941762596</v>
      </c>
      <c r="C76" s="4" t="n">
        <v>16.0958681601254</v>
      </c>
      <c r="D76" s="4" t="n">
        <v>292.033016642262</v>
      </c>
      <c r="E76" s="4" t="n">
        <v>76.1488279266931</v>
      </c>
      <c r="F76" s="4" t="n">
        <v>53.6093199988315</v>
      </c>
      <c r="G76" s="4" t="n">
        <v>994.905113771854</v>
      </c>
      <c r="H76" s="4" t="n">
        <v>0.27997432693558</v>
      </c>
      <c r="I76" s="4" t="n">
        <v>0.153225970881298</v>
      </c>
      <c r="J76" s="4" t="n">
        <v>0.250337046988683</v>
      </c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</row>
    <row r="77" customFormat="false" ht="15" hidden="false" customHeight="false" outlineLevel="0" collapsed="false">
      <c r="A77" s="3" t="s">
        <v>85</v>
      </c>
      <c r="B77" s="4" t="n">
        <v>105.73623042977</v>
      </c>
      <c r="C77" s="4" t="n">
        <v>36.7958217735831</v>
      </c>
      <c r="D77" s="4" t="n">
        <v>133.73893986708</v>
      </c>
      <c r="E77" s="4" t="n">
        <v>168.652153935759</v>
      </c>
      <c r="F77" s="4" t="n">
        <v>118.166824767111</v>
      </c>
      <c r="G77" s="4" t="n">
        <v>2212.93750069757</v>
      </c>
      <c r="H77" s="4" t="n">
        <v>0.581012856922841</v>
      </c>
      <c r="I77" s="4" t="n">
        <v>0.528681152148849</v>
      </c>
      <c r="J77" s="4" t="n">
        <v>0.542919731007795</v>
      </c>
    </row>
    <row r="78" customFormat="false" ht="15" hidden="false" customHeight="false" outlineLevel="0" collapsed="false">
      <c r="A78" s="3" t="s">
        <v>86</v>
      </c>
      <c r="B78" s="4" t="n">
        <v>25.659620809842</v>
      </c>
      <c r="C78" s="4" t="n">
        <v>23.1579141767744</v>
      </c>
      <c r="D78" s="4" t="n">
        <v>220.313783355663</v>
      </c>
      <c r="E78" s="4" t="n">
        <v>75.7395994010154</v>
      </c>
      <c r="F78" s="4" t="n">
        <f aca="false">C78+0.7*B78+0.055*D78</f>
        <v>53.2369068282253</v>
      </c>
      <c r="G78" s="4" t="n">
        <f aca="false">D78+13.24*B78+18.46*C78</f>
        <v>987.542258581226</v>
      </c>
      <c r="H78" s="4" t="n">
        <f aca="false">B78/300+C78/200+D78/3000</f>
        <v>0.274759568035233</v>
      </c>
      <c r="I78" s="4" t="n">
        <f aca="false">B78/200</f>
        <v>0.12829810404921</v>
      </c>
      <c r="J78" s="4" t="n">
        <f aca="false">B78/360+C78/240+D78/3600</f>
        <v>0.228966306696027</v>
      </c>
    </row>
    <row r="79" customFormat="false" ht="15" hidden="false" customHeight="false" outlineLevel="0" collapsed="false">
      <c r="A79" s="3" t="s">
        <v>87</v>
      </c>
      <c r="B79" s="4" t="n">
        <v>25.5232015792693</v>
      </c>
      <c r="C79" s="4" t="n">
        <v>15.7876792437676</v>
      </c>
      <c r="D79" s="4" t="n">
        <v>282.904186599402</v>
      </c>
      <c r="E79" s="4" t="n">
        <v>69.883205266011</v>
      </c>
      <c r="F79" s="4" t="n">
        <f aca="false">C79+0.7*B79+0.055*D79</f>
        <v>49.2136506122233</v>
      </c>
      <c r="G79" s="4" t="n">
        <f aca="false">D79+13.24*B79+18.46*C79</f>
        <v>912.271934348878</v>
      </c>
      <c r="H79" s="4" t="n">
        <f aca="false">B79/300+C79/200+D79/3000</f>
        <v>0.258317130349536</v>
      </c>
      <c r="I79" s="4" t="n">
        <f aca="false">B79/200</f>
        <v>0.127616007896347</v>
      </c>
      <c r="J79" s="4" t="n">
        <f aca="false">B79/360+C79/240+D79/3600</f>
        <v>0.21526427529128</v>
      </c>
    </row>
    <row r="80" customFormat="false" ht="15" hidden="false" customHeight="false" outlineLevel="0" collapsed="false">
      <c r="A80" s="6" t="s">
        <v>88</v>
      </c>
      <c r="B80" s="7" t="n">
        <v>83.8434256135627</v>
      </c>
      <c r="C80" s="7" t="n">
        <v>23.849894232552</v>
      </c>
      <c r="D80" s="7" t="n">
        <v>122.044487473089</v>
      </c>
      <c r="E80" s="7" t="n">
        <v>127.34619990154</v>
      </c>
      <c r="F80" s="7" t="n">
        <f aca="false">C80+0.7*B80+0.055*D80</f>
        <v>89.2527389730658</v>
      </c>
      <c r="G80" s="7" t="n">
        <f aca="false">D80+13.24*B80+18.46*C80</f>
        <v>1672.40049012957</v>
      </c>
      <c r="H80" s="7" t="n">
        <f aca="false">B80/300+C80/200+D80/3000</f>
        <v>0.439409052365665</v>
      </c>
      <c r="I80" s="7" t="n">
        <f aca="false">B80/200</f>
        <v>0.419217128067814</v>
      </c>
      <c r="J80" s="7" t="n">
        <f aca="false">B80/360+C80/240+D80/3600</f>
        <v>0.366174210304721</v>
      </c>
    </row>
    <row r="81" customFormat="false" ht="15" hidden="false" customHeight="false" outlineLevel="0" collapsed="false">
      <c r="A81" s="3" t="s">
        <v>89</v>
      </c>
      <c r="B81" s="4" t="n">
        <v>106.496383957685</v>
      </c>
      <c r="C81" s="4" t="n">
        <v>50.0777429191353</v>
      </c>
      <c r="D81" s="4" t="n">
        <v>955.406548250218</v>
      </c>
      <c r="E81" s="4" t="n">
        <v>251.673860547315</v>
      </c>
      <c r="F81" s="4" t="n">
        <v>177.172571843277</v>
      </c>
      <c r="G81" s="4" t="n">
        <v>2224.88996656036</v>
      </c>
      <c r="H81" s="4" t="n">
        <v>0.923845510538033</v>
      </c>
      <c r="I81" s="4" t="n">
        <v>0.532481919788426</v>
      </c>
      <c r="J81" s="4" t="n">
        <v>0.829035916535963</v>
      </c>
    </row>
    <row r="82" customFormat="false" ht="15" hidden="false" customHeight="false" outlineLevel="0" collapsed="false">
      <c r="A82" s="3" t="s">
        <v>90</v>
      </c>
      <c r="B82" s="4" t="n">
        <v>97.5296485855231</v>
      </c>
      <c r="C82" s="4" t="n">
        <v>74.7851376838949</v>
      </c>
      <c r="D82" s="4" t="n">
        <v>874.875082384101</v>
      </c>
      <c r="E82" s="4" t="n">
        <v>271.837776817068</v>
      </c>
      <c r="F82" s="4" t="n">
        <v>191.174021224887</v>
      </c>
      <c r="G82" s="4" t="n">
        <v>2571.40478544589</v>
      </c>
      <c r="H82" s="4" t="n">
        <v>0.990649544499252</v>
      </c>
      <c r="I82" s="4" t="n">
        <v>0.487648242927616</v>
      </c>
      <c r="J82" s="4" t="n">
        <v>0.879724425185778</v>
      </c>
    </row>
    <row r="83" customFormat="false" ht="15" hidden="false" customHeight="false" outlineLevel="0" collapsed="false">
      <c r="A83" s="3" t="s">
        <v>91</v>
      </c>
      <c r="B83" s="4" t="n">
        <v>112.119544609033</v>
      </c>
      <c r="C83" s="4" t="n">
        <v>69.6878621380064</v>
      </c>
      <c r="D83" s="4" t="n">
        <v>1001.32211280083</v>
      </c>
      <c r="E83" s="4" t="n">
        <v>288.874990152047</v>
      </c>
      <c r="F83" s="4" t="n">
        <v>203.244259568376</v>
      </c>
      <c r="G83" s="4" t="n">
        <v>2651.0273724017</v>
      </c>
      <c r="H83" s="4" t="n">
        <v>1.05594516365375</v>
      </c>
      <c r="I83" s="4" t="n">
        <v>0.560597723045167</v>
      </c>
      <c r="J83" s="4" t="n">
        <v>0.942242938938702</v>
      </c>
      <c r="K83" s="2"/>
      <c r="L83" s="2"/>
      <c r="M83" s="2"/>
      <c r="N83" s="2"/>
      <c r="O83" s="2"/>
      <c r="P83" s="2"/>
      <c r="Q83" s="2"/>
      <c r="R83" s="2"/>
      <c r="S83" s="2"/>
    </row>
    <row r="84" customFormat="false" ht="15" hidden="false" customHeight="false" outlineLevel="0" collapsed="false">
      <c r="A84" s="3" t="s">
        <v>92</v>
      </c>
      <c r="B84" s="4" t="n">
        <v>134.343167621839</v>
      </c>
      <c r="C84" s="4" t="n">
        <v>60.0139831872271</v>
      </c>
      <c r="D84" s="4" t="n">
        <v>917.012812587184</v>
      </c>
      <c r="E84" s="4" t="n">
        <v>290.773150148787</v>
      </c>
      <c r="F84" s="4" t="n">
        <v>204.48990521481</v>
      </c>
      <c r="G84" s="4" t="n">
        <v>2460.14280531815</v>
      </c>
      <c r="H84" s="4" t="n">
        <v>1.05355141220466</v>
      </c>
      <c r="I84" s="4" t="n">
        <v>0.671715838109196</v>
      </c>
      <c r="J84" s="4" t="n">
        <v>0.952594603293795</v>
      </c>
      <c r="K84" s="2"/>
      <c r="L84" s="2"/>
      <c r="M84" s="2"/>
      <c r="N84" s="2"/>
      <c r="O84" s="2"/>
      <c r="P84" s="2"/>
      <c r="Q84" s="2"/>
      <c r="R84" s="2"/>
      <c r="S84" s="2"/>
    </row>
    <row r="85" customFormat="false" ht="15" hidden="false" customHeight="false" outlineLevel="0" collapsed="false">
      <c r="A85" s="3" t="s">
        <v>93</v>
      </c>
      <c r="B85" s="4" t="n">
        <v>69.43</v>
      </c>
      <c r="C85" s="4" t="n">
        <v>48.15</v>
      </c>
      <c r="D85" s="4" t="n">
        <v>1077.56</v>
      </c>
      <c r="E85" s="4" t="n">
        <v>221.25662</v>
      </c>
      <c r="F85" s="4" t="n">
        <v>156.0168</v>
      </c>
      <c r="G85" s="4" t="n">
        <v>2191.3622</v>
      </c>
      <c r="H85" s="4" t="n">
        <v>0.83137</v>
      </c>
      <c r="I85" s="4" t="n">
        <v>0.34715</v>
      </c>
      <c r="J85" s="4" t="n">
        <v>0.731380555555556</v>
      </c>
      <c r="K85" s="2"/>
      <c r="L85" s="2"/>
      <c r="M85" s="2"/>
      <c r="N85" s="2"/>
      <c r="O85" s="2"/>
      <c r="P85" s="2"/>
      <c r="Q85" s="2"/>
      <c r="R85" s="2"/>
      <c r="S85" s="2"/>
    </row>
    <row r="86" customFormat="false" ht="15" hidden="false" customHeight="false" outlineLevel="0" collapsed="false">
      <c r="A86" s="3" t="s">
        <v>94</v>
      </c>
      <c r="B86" s="4" t="n">
        <v>61.55</v>
      </c>
      <c r="C86" s="4" t="n">
        <v>59.08</v>
      </c>
      <c r="D86" s="4" t="n">
        <v>859.27</v>
      </c>
      <c r="E86" s="4" t="n">
        <v>212.19819</v>
      </c>
      <c r="F86" s="4" t="n">
        <v>149.42485</v>
      </c>
      <c r="G86" s="4" t="n">
        <v>2149.3088</v>
      </c>
      <c r="H86" s="4" t="n">
        <v>0.78699</v>
      </c>
      <c r="I86" s="4" t="n">
        <v>0.30775</v>
      </c>
      <c r="J86" s="4" t="n">
        <v>0.690019444444445</v>
      </c>
      <c r="K86" s="2"/>
      <c r="L86" s="2"/>
      <c r="M86" s="2"/>
      <c r="N86" s="2"/>
      <c r="O86" s="2"/>
      <c r="P86" s="2"/>
      <c r="Q86" s="2"/>
      <c r="R86" s="2"/>
      <c r="S86" s="2"/>
    </row>
    <row r="87" customFormat="false" ht="15" hidden="false" customHeight="false" outlineLevel="0" collapsed="false">
      <c r="A87" s="3" t="s">
        <v>95</v>
      </c>
      <c r="B87" s="4" t="n">
        <v>74.17</v>
      </c>
      <c r="C87" s="4" t="n">
        <v>40.49</v>
      </c>
      <c r="D87" s="4" t="n">
        <v>997</v>
      </c>
      <c r="E87" s="4" t="n">
        <v>208.8397</v>
      </c>
      <c r="F87" s="4" t="n">
        <v>147.244</v>
      </c>
      <c r="G87" s="4" t="n">
        <v>1984.7562</v>
      </c>
      <c r="H87" s="4" t="n">
        <v>0.782016666666667</v>
      </c>
      <c r="I87" s="4" t="n">
        <v>0.37085</v>
      </c>
      <c r="J87" s="4" t="n">
        <v>0.692886111111111</v>
      </c>
      <c r="K87" s="2"/>
      <c r="L87" s="2"/>
      <c r="M87" s="2"/>
      <c r="N87" s="2"/>
      <c r="O87" s="2"/>
      <c r="P87" s="2"/>
      <c r="Q87" s="2"/>
      <c r="R87" s="2"/>
      <c r="S87" s="2"/>
    </row>
    <row r="88" customFormat="false" ht="15" hidden="false" customHeight="false" outlineLevel="0" collapsed="false">
      <c r="A88" s="3" t="s">
        <v>96</v>
      </c>
      <c r="B88" s="4" t="n">
        <v>91.87</v>
      </c>
      <c r="C88" s="4" t="n">
        <v>65.26</v>
      </c>
      <c r="D88" s="4" t="n">
        <v>1114.34</v>
      </c>
      <c r="E88" s="4" t="n">
        <v>270.99598</v>
      </c>
      <c r="F88" s="4" t="n">
        <v>190.8577</v>
      </c>
      <c r="G88" s="4" t="n">
        <v>2616.6984</v>
      </c>
      <c r="H88" s="4" t="n">
        <v>1.00398</v>
      </c>
      <c r="I88" s="4" t="n">
        <v>0.45935</v>
      </c>
      <c r="J88" s="4" t="n">
        <v>0.887688888888889</v>
      </c>
      <c r="K88" s="2"/>
      <c r="L88" s="2"/>
      <c r="M88" s="2"/>
      <c r="N88" s="2"/>
      <c r="O88" s="2"/>
      <c r="P88" s="2"/>
      <c r="Q88" s="2"/>
      <c r="R88" s="2"/>
      <c r="S88" s="2"/>
    </row>
    <row r="89" customFormat="false" ht="15" hidden="false" customHeight="false" outlineLevel="0" collapsed="false">
      <c r="A89" s="3" t="s">
        <v>97</v>
      </c>
      <c r="B89" s="4" t="n">
        <v>48.14</v>
      </c>
      <c r="C89" s="4" t="n">
        <v>72.72</v>
      </c>
      <c r="D89" s="4" t="n">
        <v>976.69</v>
      </c>
      <c r="E89" s="4" t="n">
        <v>227.33473</v>
      </c>
      <c r="F89" s="4" t="n">
        <v>160.13595</v>
      </c>
      <c r="G89" s="4" t="n">
        <v>2475.0748</v>
      </c>
      <c r="H89" s="4" t="n">
        <v>0.84963</v>
      </c>
      <c r="I89" s="4" t="n">
        <v>0.2407</v>
      </c>
      <c r="J89" s="4" t="n">
        <v>0.734769444444444</v>
      </c>
      <c r="K89" s="2"/>
      <c r="L89" s="2"/>
      <c r="M89" s="2"/>
      <c r="N89" s="2"/>
      <c r="O89" s="2"/>
      <c r="P89" s="2"/>
      <c r="Q89" s="2"/>
      <c r="R89" s="2"/>
      <c r="S89" s="2"/>
    </row>
    <row r="90" customFormat="false" ht="15" hidden="false" customHeight="false" outlineLevel="0" collapsed="false">
      <c r="A90" s="3" t="s">
        <v>98</v>
      </c>
      <c r="B90" s="4" t="n">
        <v>91.93</v>
      </c>
      <c r="C90" s="4" t="n">
        <v>83.39</v>
      </c>
      <c r="D90" s="4" t="n">
        <v>949.9</v>
      </c>
      <c r="E90" s="4" t="n">
        <v>284.32</v>
      </c>
      <c r="F90" s="4" t="n">
        <v>199.9855</v>
      </c>
      <c r="G90" s="4" t="n">
        <v>2787.1326</v>
      </c>
      <c r="H90" s="4" t="n">
        <v>1.04001666666667</v>
      </c>
      <c r="I90" s="4" t="n">
        <v>0.45965</v>
      </c>
      <c r="J90" s="4" t="n">
        <v>0.917752777777778</v>
      </c>
      <c r="K90" s="2"/>
      <c r="L90" s="2"/>
      <c r="M90" s="2"/>
      <c r="N90" s="2"/>
      <c r="O90" s="2"/>
      <c r="P90" s="2"/>
      <c r="Q90" s="2"/>
      <c r="R90" s="2"/>
      <c r="S90" s="2"/>
    </row>
    <row r="91" customFormat="false" ht="15" hidden="false" customHeight="false" outlineLevel="0" collapsed="false">
      <c r="A91" s="3" t="s">
        <v>99</v>
      </c>
      <c r="B91" s="4" t="n">
        <v>115.68</v>
      </c>
      <c r="C91" s="4" t="n">
        <v>83.36</v>
      </c>
      <c r="D91" s="4" t="n">
        <v>1018.44</v>
      </c>
      <c r="E91" s="4" t="n">
        <v>313.30468</v>
      </c>
      <c r="F91" s="4" t="n">
        <v>220.3502</v>
      </c>
      <c r="G91" s="4" t="n">
        <v>2932.0688</v>
      </c>
      <c r="H91" s="4" t="n">
        <v>1.14188</v>
      </c>
      <c r="I91" s="4" t="n">
        <v>0.5784</v>
      </c>
      <c r="J91" s="4" t="n">
        <v>1.01583333333333</v>
      </c>
      <c r="K91" s="2"/>
      <c r="L91" s="2"/>
      <c r="M91" s="2"/>
      <c r="N91" s="2"/>
      <c r="O91" s="2"/>
      <c r="P91" s="2"/>
      <c r="Q91" s="2"/>
      <c r="R91" s="2"/>
      <c r="S91" s="2"/>
    </row>
    <row r="92" customFormat="false" ht="15" hidden="false" customHeight="false" outlineLevel="0" collapsed="false">
      <c r="A92" s="3" t="s">
        <v>100</v>
      </c>
      <c r="B92" s="4" t="n">
        <v>132.18</v>
      </c>
      <c r="C92" s="4" t="n">
        <v>63.11</v>
      </c>
      <c r="D92" s="4" t="n">
        <v>1032.45</v>
      </c>
      <c r="E92" s="4" t="n">
        <v>301.92595</v>
      </c>
      <c r="F92" s="4" t="n">
        <v>212.42075</v>
      </c>
      <c r="G92" s="4" t="n">
        <v>2625.7238</v>
      </c>
      <c r="H92" s="4" t="n">
        <v>1.1003</v>
      </c>
      <c r="I92" s="4" t="n">
        <v>0.6609</v>
      </c>
      <c r="J92" s="4" t="n">
        <v>0.99035</v>
      </c>
      <c r="K92" s="2"/>
      <c r="L92" s="2"/>
      <c r="M92" s="2"/>
      <c r="N92" s="2"/>
      <c r="O92" s="2"/>
      <c r="P92" s="2"/>
      <c r="Q92" s="2"/>
      <c r="R92" s="2"/>
      <c r="S92" s="2"/>
    </row>
    <row r="93" customFormat="false" ht="15" hidden="false" customHeight="false" outlineLevel="0" collapsed="false">
      <c r="A93" s="3" t="s">
        <v>101</v>
      </c>
      <c r="B93" s="4" t="n">
        <v>95.94</v>
      </c>
      <c r="C93" s="4" t="n">
        <v>76.08</v>
      </c>
      <c r="D93" s="4" t="n">
        <v>1204.77</v>
      </c>
      <c r="E93" s="4" t="n">
        <v>297.50169</v>
      </c>
      <c r="F93" s="4" t="n">
        <v>209.50035</v>
      </c>
      <c r="G93" s="4" t="n">
        <v>2920.0524</v>
      </c>
      <c r="H93" s="4" t="n">
        <v>1.10179</v>
      </c>
      <c r="I93" s="4" t="n">
        <v>0.4797</v>
      </c>
      <c r="J93" s="4" t="n">
        <v>0.971458333333333</v>
      </c>
      <c r="K93" s="2"/>
      <c r="L93" s="2"/>
      <c r="M93" s="2"/>
      <c r="N93" s="2"/>
      <c r="O93" s="2"/>
      <c r="P93" s="2"/>
      <c r="Q93" s="2"/>
      <c r="R93" s="2"/>
      <c r="S93" s="2"/>
    </row>
    <row r="94" customFormat="false" ht="15" hidden="false" customHeight="false" outlineLevel="0" collapsed="false">
      <c r="A94" s="3" t="s">
        <v>102</v>
      </c>
      <c r="B94" s="4" t="n">
        <v>30.28</v>
      </c>
      <c r="C94" s="4" t="n">
        <v>27.87</v>
      </c>
      <c r="D94" s="4" t="n">
        <v>1080.73</v>
      </c>
      <c r="E94" s="4" t="n">
        <v>153.35031</v>
      </c>
      <c r="F94" s="4" t="n">
        <v>108.50615</v>
      </c>
      <c r="G94" s="4" t="n">
        <v>1693.3174</v>
      </c>
      <c r="H94" s="4" t="n">
        <v>0.600526666666667</v>
      </c>
      <c r="I94" s="4" t="n">
        <v>0.1514</v>
      </c>
      <c r="J94" s="4" t="n">
        <v>0.517261111111111</v>
      </c>
      <c r="K94" s="2"/>
      <c r="L94" s="2"/>
      <c r="M94" s="2"/>
      <c r="N94" s="2"/>
      <c r="O94" s="2"/>
      <c r="P94" s="2"/>
      <c r="Q94" s="2"/>
      <c r="R94" s="2"/>
      <c r="S94" s="2"/>
    </row>
    <row r="95" customFormat="false" ht="15" hidden="false" customHeight="false" outlineLevel="0" collapsed="false">
      <c r="A95" s="3" t="s">
        <v>103</v>
      </c>
      <c r="B95" s="4" t="n">
        <v>35.32</v>
      </c>
      <c r="C95" s="4" t="n">
        <v>60.98</v>
      </c>
      <c r="D95" s="4" t="n">
        <v>988.24</v>
      </c>
      <c r="E95" s="4" t="n">
        <v>198.61588</v>
      </c>
      <c r="F95" s="4" t="n">
        <v>140.0572</v>
      </c>
      <c r="G95" s="4" t="n">
        <v>2228.3676</v>
      </c>
      <c r="H95" s="4" t="n">
        <v>0.752046666666667</v>
      </c>
      <c r="I95" s="4" t="n">
        <v>0.1766</v>
      </c>
      <c r="J95" s="4" t="n">
        <v>0.646327777777778</v>
      </c>
      <c r="K95" s="2"/>
      <c r="L95" s="2"/>
      <c r="M95" s="2"/>
      <c r="N95" s="2"/>
      <c r="O95" s="2"/>
      <c r="P95" s="2"/>
      <c r="Q95" s="2"/>
      <c r="R95" s="2"/>
      <c r="S95" s="2"/>
    </row>
    <row r="96" customFormat="false" ht="15" hidden="false" customHeight="false" outlineLevel="0" collapsed="false">
      <c r="A96" s="3" t="s">
        <v>104</v>
      </c>
      <c r="B96" s="4" t="n">
        <v>85.37</v>
      </c>
      <c r="C96" s="4" t="n">
        <v>60.24</v>
      </c>
      <c r="D96" s="4" t="n">
        <v>1085.93</v>
      </c>
      <c r="E96" s="4" t="n">
        <v>255.12981</v>
      </c>
      <c r="F96" s="4" t="n">
        <v>179.72515</v>
      </c>
      <c r="G96" s="4" t="n">
        <v>2474.5592</v>
      </c>
      <c r="H96" s="4" t="n">
        <v>0.947743333333333</v>
      </c>
      <c r="I96" s="4" t="n">
        <v>0.42685</v>
      </c>
      <c r="J96" s="4" t="n">
        <v>0.837213888888889</v>
      </c>
      <c r="K96" s="2"/>
      <c r="L96" s="2"/>
      <c r="M96" s="2"/>
      <c r="N96" s="2"/>
      <c r="O96" s="2"/>
      <c r="P96" s="2"/>
      <c r="Q96" s="2"/>
      <c r="R96" s="2"/>
      <c r="S96" s="2"/>
    </row>
    <row r="97" customFormat="false" ht="15" hidden="false" customHeight="false" outlineLevel="0" collapsed="false">
      <c r="A97" s="3" t="s">
        <v>105</v>
      </c>
      <c r="B97" s="4" t="n">
        <v>93.56</v>
      </c>
      <c r="C97" s="4" t="n">
        <v>44.72</v>
      </c>
      <c r="D97" s="4" t="n">
        <v>1125.68</v>
      </c>
      <c r="E97" s="4" t="n">
        <v>244.18696</v>
      </c>
      <c r="F97" s="4" t="n">
        <v>172.1244</v>
      </c>
      <c r="G97" s="4" t="n">
        <v>2254.3456</v>
      </c>
      <c r="H97" s="4" t="n">
        <v>0.910693333333333</v>
      </c>
      <c r="I97" s="4" t="n">
        <v>0.4678</v>
      </c>
      <c r="J97" s="4" t="n">
        <v>0.810888888888889</v>
      </c>
      <c r="K97" s="2"/>
      <c r="L97" s="2"/>
      <c r="M97" s="2"/>
      <c r="N97" s="2"/>
      <c r="O97" s="2"/>
      <c r="P97" s="2"/>
      <c r="Q97" s="2"/>
      <c r="R97" s="2"/>
      <c r="S97" s="2"/>
    </row>
    <row r="98" customFormat="false" ht="15" hidden="false" customHeight="false" outlineLevel="0" collapsed="false">
      <c r="A98" s="3" t="s">
        <v>106</v>
      </c>
      <c r="B98" s="4" t="n">
        <v>61.05</v>
      </c>
      <c r="C98" s="4" t="n">
        <v>54.47</v>
      </c>
      <c r="D98" s="4" t="n">
        <v>1131.2</v>
      </c>
      <c r="E98" s="4" t="n">
        <v>226.0445</v>
      </c>
      <c r="F98" s="4" t="n">
        <v>159.421</v>
      </c>
      <c r="G98" s="4" t="n">
        <v>2334.5182</v>
      </c>
      <c r="H98" s="4" t="n">
        <v>0.852916666666667</v>
      </c>
      <c r="I98" s="4" t="n">
        <v>0.30525</v>
      </c>
      <c r="J98" s="4" t="n">
        <v>0.744680555555556</v>
      </c>
      <c r="K98" s="2"/>
      <c r="L98" s="2"/>
      <c r="M98" s="2"/>
      <c r="N98" s="2"/>
      <c r="O98" s="2"/>
      <c r="P98" s="2"/>
      <c r="Q98" s="2"/>
      <c r="R98" s="2"/>
      <c r="S98" s="2"/>
    </row>
    <row r="99" customFormat="false" ht="15" hidden="false" customHeight="false" outlineLevel="0" collapsed="false">
      <c r="A99" s="3" t="s">
        <v>107</v>
      </c>
      <c r="B99" s="4" t="n">
        <v>29.4973624985737</v>
      </c>
      <c r="C99" s="4" t="n">
        <v>53.7003666370581</v>
      </c>
      <c r="D99" s="4" t="n">
        <v>1122.83429573404</v>
      </c>
      <c r="E99" s="4" t="n">
        <v>192.747127561088</v>
      </c>
      <c r="F99" s="4" t="n">
        <v>136.104406651432</v>
      </c>
      <c r="G99" s="4" t="n">
        <v>2209.71451834951</v>
      </c>
      <c r="H99" s="4" t="n">
        <v>0.741104473425217</v>
      </c>
      <c r="I99" s="4" t="n">
        <v>0.147486812492868</v>
      </c>
      <c r="J99" s="4" t="n">
        <v>0.633974484797999</v>
      </c>
      <c r="K99" s="2"/>
      <c r="L99" s="2"/>
      <c r="M99" s="2"/>
      <c r="N99" s="2"/>
      <c r="O99" s="2"/>
      <c r="P99" s="2"/>
      <c r="Q99" s="2"/>
      <c r="R99" s="2"/>
      <c r="S99" s="2"/>
    </row>
    <row r="100" customFormat="false" ht="15" hidden="false" customHeight="false" outlineLevel="0" collapsed="false">
      <c r="A100" s="10" t="s">
        <v>108</v>
      </c>
      <c r="B100" s="11" t="n">
        <v>19.9904799923845</v>
      </c>
      <c r="C100" s="11" t="n">
        <v>54.9264803248037</v>
      </c>
      <c r="D100" s="11" t="n">
        <v>940.896156995724</v>
      </c>
      <c r="E100" s="11" t="n">
        <v>170.984350945524</v>
      </c>
      <c r="F100" s="11" t="n">
        <f aca="false">C100+0.7*B100+0.055*D100</f>
        <v>120.669104954238</v>
      </c>
      <c r="G100" s="11" t="n">
        <f aca="false">D100+13.24*B100+18.46*C100</f>
        <v>2219.51293889077</v>
      </c>
      <c r="H100" s="11" t="n">
        <f aca="false">B100/300+C100/200+D100/3000</f>
        <v>0.654899387263874</v>
      </c>
      <c r="I100" s="11" t="n">
        <f aca="false">B100/200</f>
        <v>0.0999523999619223</v>
      </c>
      <c r="J100" s="11" t="n">
        <f aca="false">B100/360+C100/240+D100/3600</f>
        <v>0.545749489386562</v>
      </c>
      <c r="K100" s="2"/>
      <c r="L100" s="2"/>
      <c r="M100" s="2"/>
      <c r="N100" s="2"/>
      <c r="O100" s="2"/>
      <c r="P100" s="2"/>
      <c r="Q100" s="2"/>
      <c r="R100" s="2"/>
      <c r="S100" s="2"/>
    </row>
    <row r="101" customFormat="false" ht="15" hidden="false" customHeight="false" outlineLevel="0" collapsed="false">
      <c r="A101" s="3" t="s">
        <v>109</v>
      </c>
      <c r="B101" s="4" t="n">
        <v>43.124515941216</v>
      </c>
      <c r="C101" s="4" t="n">
        <v>86.1516424822476</v>
      </c>
      <c r="D101" s="4" t="n">
        <v>812.585224701404</v>
      </c>
      <c r="E101" s="4" t="n">
        <v>228.890426992838</v>
      </c>
      <c r="F101" s="4" t="n">
        <v>161.030990999676</v>
      </c>
      <c r="G101" s="4" t="n">
        <v>2542.66797657324</v>
      </c>
      <c r="H101" s="4" t="n">
        <v>0.845368340449093</v>
      </c>
      <c r="I101" s="4" t="n">
        <v>0.21562257970608</v>
      </c>
      <c r="J101" s="4" t="n">
        <v>0.728431681452697</v>
      </c>
      <c r="K101" s="2"/>
      <c r="L101" s="2"/>
      <c r="M101" s="2"/>
      <c r="N101" s="2"/>
      <c r="O101" s="2"/>
      <c r="P101" s="2"/>
      <c r="Q101" s="2"/>
      <c r="R101" s="2"/>
      <c r="S101" s="2"/>
    </row>
    <row r="102" customFormat="false" ht="15" hidden="false" customHeight="false" outlineLevel="0" collapsed="false">
      <c r="A102" s="3" t="s">
        <v>110</v>
      </c>
      <c r="B102" s="4" t="n">
        <v>121.707810365696</v>
      </c>
      <c r="C102" s="4" t="n">
        <v>71.7059663810388</v>
      </c>
      <c r="D102" s="4" t="n">
        <v>984.969576085362</v>
      </c>
      <c r="E102" s="4" t="n">
        <v>300.089999649154</v>
      </c>
      <c r="F102" s="4" t="n">
        <v>211.074760321721</v>
      </c>
      <c r="G102" s="4" t="n">
        <v>2702.99502106419</v>
      </c>
      <c r="H102" s="4" t="n">
        <v>1.09254572515263</v>
      </c>
      <c r="I102" s="4" t="n">
        <v>0.60853905182848</v>
      </c>
      <c r="J102" s="4" t="n">
        <v>0.978070221163693</v>
      </c>
      <c r="K102" s="2"/>
      <c r="L102" s="2"/>
      <c r="M102" s="2"/>
      <c r="N102" s="2"/>
      <c r="O102" s="2"/>
      <c r="P102" s="2"/>
      <c r="Q102" s="2"/>
      <c r="R102" s="2"/>
      <c r="S102" s="2"/>
    </row>
    <row r="103" customFormat="false" ht="15" hidden="false" customHeight="false" outlineLevel="0" collapsed="false">
      <c r="A103" s="3" t="s">
        <v>111</v>
      </c>
      <c r="B103" s="4" t="n">
        <v>106.78981450034</v>
      </c>
      <c r="C103" s="4" t="n">
        <v>74.551156731114</v>
      </c>
      <c r="D103" s="4" t="n">
        <v>933.833977625579</v>
      </c>
      <c r="E103" s="4" t="n">
        <v>285.303184903003</v>
      </c>
      <c r="F103" s="4" t="n">
        <v>200.664895650759</v>
      </c>
      <c r="G103" s="4" t="n">
        <v>2656.04732986304</v>
      </c>
      <c r="H103" s="4" t="n">
        <v>1.0399998245319</v>
      </c>
      <c r="I103" s="4" t="n">
        <v>0.533949072501701</v>
      </c>
      <c r="J103" s="4" t="n">
        <v>0.925994195165659</v>
      </c>
      <c r="K103" s="2"/>
      <c r="L103" s="2"/>
      <c r="M103" s="2"/>
      <c r="N103" s="2"/>
      <c r="O103" s="2"/>
      <c r="P103" s="2"/>
      <c r="Q103" s="2"/>
      <c r="R103" s="2"/>
      <c r="S103" s="2"/>
    </row>
    <row r="104" customFormat="false" ht="15" hidden="false" customHeight="false" outlineLevel="0" collapsed="false">
      <c r="A104" s="3" t="s">
        <v>112</v>
      </c>
      <c r="B104" s="4" t="n">
        <v>62.5471106275992</v>
      </c>
      <c r="C104" s="4" t="n">
        <v>48.1024287909879</v>
      </c>
      <c r="D104" s="4" t="n">
        <v>734.875088957676</v>
      </c>
      <c r="E104" s="4" t="n">
        <v>187.918965648453</v>
      </c>
      <c r="F104" s="4" t="n">
        <v>132.30353612298</v>
      </c>
      <c r="G104" s="4" t="n">
        <v>1825.49856287273</v>
      </c>
      <c r="H104" s="4" t="n">
        <v>0.693960875699495</v>
      </c>
      <c r="I104" s="4" t="n">
        <v>0.312735553137996</v>
      </c>
      <c r="J104" s="4" t="n">
        <v>0.61304912454269</v>
      </c>
      <c r="K104" s="2"/>
      <c r="L104" s="2"/>
      <c r="M104" s="2"/>
      <c r="N104" s="2"/>
      <c r="O104" s="2"/>
      <c r="P104" s="2"/>
      <c r="Q104" s="2"/>
      <c r="R104" s="2"/>
      <c r="S104" s="2"/>
    </row>
    <row r="105" customFormat="false" ht="15" hidden="false" customHeight="false" outlineLevel="0" collapsed="false">
      <c r="A105" s="3" t="s">
        <v>113</v>
      </c>
      <c r="B105" s="4" t="n">
        <v>130.5</v>
      </c>
      <c r="C105" s="4" t="n">
        <v>70.91</v>
      </c>
      <c r="D105" s="4" t="n">
        <v>973.18</v>
      </c>
      <c r="E105" s="4" t="n">
        <v>306.83616</v>
      </c>
      <c r="F105" s="4" t="n">
        <v>215.7849</v>
      </c>
      <c r="G105" s="4" t="n">
        <v>2704.9986</v>
      </c>
      <c r="H105" s="4" t="n">
        <v>1.11394333333333</v>
      </c>
      <c r="I105" s="4" t="n">
        <v>0.6525</v>
      </c>
      <c r="J105" s="4" t="n">
        <v>1.00078611111111</v>
      </c>
      <c r="K105" s="2"/>
      <c r="L105" s="2"/>
      <c r="M105" s="2"/>
      <c r="N105" s="2"/>
      <c r="O105" s="2"/>
      <c r="P105" s="2"/>
      <c r="Q105" s="2"/>
      <c r="R105" s="2"/>
      <c r="S105" s="2"/>
    </row>
    <row r="106" customFormat="false" ht="15" hidden="false" customHeight="false" outlineLevel="0" collapsed="false">
      <c r="A106" s="3" t="s">
        <v>114</v>
      </c>
      <c r="B106" s="4" t="n">
        <v>90.11</v>
      </c>
      <c r="C106" s="4" t="n">
        <v>70.89</v>
      </c>
      <c r="D106" s="4" t="n">
        <v>864.52</v>
      </c>
      <c r="E106" s="4" t="n">
        <v>258.05074</v>
      </c>
      <c r="F106" s="4" t="n">
        <v>181.5156</v>
      </c>
      <c r="G106" s="4" t="n">
        <v>2465.1058</v>
      </c>
      <c r="H106" s="4" t="n">
        <v>0.94299</v>
      </c>
      <c r="I106" s="4" t="n">
        <v>0.45055</v>
      </c>
      <c r="J106" s="4" t="n">
        <v>0.835886111111111</v>
      </c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</row>
    <row r="107" customFormat="false" ht="15" hidden="false" customHeight="false" outlineLevel="0" collapsed="false">
      <c r="A107" s="3" t="s">
        <v>115</v>
      </c>
      <c r="B107" s="4" t="n">
        <v>109.68</v>
      </c>
      <c r="C107" s="4" t="n">
        <v>62.16</v>
      </c>
      <c r="D107" s="4" t="n">
        <v>822.28</v>
      </c>
      <c r="E107" s="4" t="n">
        <v>261.88436</v>
      </c>
      <c r="F107" s="4" t="n">
        <v>184.1614</v>
      </c>
      <c r="G107" s="4" t="n">
        <v>2325.1168</v>
      </c>
      <c r="H107" s="4" t="n">
        <v>0.950493333333333</v>
      </c>
      <c r="I107" s="4" t="n">
        <v>0.5484</v>
      </c>
      <c r="J107" s="4" t="n">
        <v>0.853011111111111</v>
      </c>
      <c r="K107" s="2"/>
      <c r="L107" s="2"/>
      <c r="M107" s="2"/>
      <c r="N107" s="2"/>
      <c r="O107" s="2"/>
      <c r="P107" s="2"/>
      <c r="Q107" s="2"/>
      <c r="R107" s="2"/>
      <c r="S107" s="2"/>
    </row>
    <row r="108" customFormat="false" ht="15" hidden="false" customHeight="false" outlineLevel="0" collapsed="false">
      <c r="A108" s="3" t="s">
        <v>116</v>
      </c>
      <c r="B108" s="4" t="n">
        <v>56.09</v>
      </c>
      <c r="C108" s="4" t="n">
        <v>64.54</v>
      </c>
      <c r="D108" s="4" t="n">
        <v>922.46</v>
      </c>
      <c r="E108" s="4" t="n">
        <v>219.41162</v>
      </c>
      <c r="F108" s="4" t="n">
        <v>154.5383</v>
      </c>
      <c r="G108" s="4" t="n">
        <v>2295.6</v>
      </c>
      <c r="H108" s="4" t="n">
        <v>0.817153333333333</v>
      </c>
      <c r="I108" s="4" t="n">
        <v>0.28045</v>
      </c>
      <c r="J108" s="4" t="n">
        <v>0.712122222222222</v>
      </c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</row>
    <row r="109" customFormat="false" ht="15" hidden="false" customHeight="false" outlineLevel="0" collapsed="false">
      <c r="A109" s="3" t="s">
        <v>117</v>
      </c>
      <c r="B109" s="4" t="n">
        <v>91.45</v>
      </c>
      <c r="C109" s="4" t="n">
        <v>59.21</v>
      </c>
      <c r="D109" s="4" t="n">
        <v>796.38</v>
      </c>
      <c r="E109" s="4" t="n">
        <v>237.44156</v>
      </c>
      <c r="F109" s="4" t="n">
        <v>167.0259</v>
      </c>
      <c r="G109" s="4" t="n">
        <v>2185.6946</v>
      </c>
      <c r="H109" s="4" t="n">
        <v>0.866343333333333</v>
      </c>
      <c r="I109" s="4" t="n">
        <v>0.45725</v>
      </c>
      <c r="J109" s="4" t="n">
        <v>0.772758333333333</v>
      </c>
      <c r="K109" s="2"/>
      <c r="L109" s="2"/>
      <c r="M109" s="2"/>
      <c r="N109" s="2"/>
      <c r="O109" s="2"/>
      <c r="P109" s="2"/>
      <c r="Q109" s="2"/>
      <c r="R109" s="2"/>
      <c r="S109" s="2"/>
    </row>
    <row r="110" customFormat="false" ht="15" hidden="false" customHeight="false" outlineLevel="0" collapsed="false">
      <c r="A110" s="6" t="s">
        <v>118</v>
      </c>
      <c r="B110" s="7" t="n">
        <v>96.2833857292362</v>
      </c>
      <c r="C110" s="7" t="n">
        <v>68.5760251153178</v>
      </c>
      <c r="D110" s="7" t="n">
        <v>859.358654003096</v>
      </c>
      <c r="E110" s="7" t="n">
        <v>260.517718002379</v>
      </c>
      <c r="F110" s="7" t="n">
        <v>183.239121095953</v>
      </c>
      <c r="G110" s="7" t="n">
        <v>2437.23024739459</v>
      </c>
      <c r="H110" s="7" t="n">
        <v>0.950277629341742</v>
      </c>
      <c r="I110" s="7" t="n">
        <v>0.481416928646181</v>
      </c>
      <c r="J110" s="7" t="n">
        <v>0.845388794301027</v>
      </c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</row>
    <row r="111" customFormat="false" ht="15" hidden="false" customHeight="false" outlineLevel="0" collapsed="false">
      <c r="A111" s="2"/>
      <c r="B111" s="8"/>
      <c r="C111" s="8"/>
      <c r="D111" s="8"/>
      <c r="E111" s="8"/>
      <c r="F111" s="8"/>
      <c r="G111" s="8"/>
      <c r="H111" s="5"/>
      <c r="I111" s="5"/>
      <c r="J111" s="5"/>
    </row>
    <row r="112" customFormat="false" ht="15" hidden="false" customHeight="false" outlineLevel="0" collapsed="false">
      <c r="A112" s="2"/>
      <c r="B112" s="8"/>
      <c r="C112" s="8"/>
      <c r="D112" s="8"/>
      <c r="E112" s="8"/>
      <c r="F112" s="8"/>
      <c r="G112" s="8"/>
      <c r="H112" s="5"/>
      <c r="I112" s="5"/>
      <c r="J112" s="5"/>
    </row>
    <row r="113" customFormat="false" ht="15" hidden="false" customHeight="false" outlineLevel="0" collapsed="false">
      <c r="A113" s="2"/>
      <c r="B113" s="8"/>
      <c r="C113" s="8"/>
      <c r="D113" s="8"/>
      <c r="E113" s="8"/>
      <c r="F113" s="8"/>
      <c r="G113" s="8"/>
      <c r="H113" s="5"/>
      <c r="I113" s="5"/>
      <c r="J113" s="5"/>
      <c r="K113" s="2"/>
      <c r="L113" s="2"/>
      <c r="M113" s="2"/>
      <c r="N113" s="2"/>
      <c r="O113" s="2"/>
      <c r="P113" s="2"/>
      <c r="Q113" s="2"/>
      <c r="R113" s="2"/>
      <c r="S113" s="2"/>
    </row>
    <row r="114" customFormat="false" ht="15" hidden="false" customHeight="false" outlineLevel="0" collapsed="false">
      <c r="A114" s="2"/>
      <c r="B114" s="8"/>
      <c r="C114" s="8"/>
      <c r="D114" s="8"/>
      <c r="E114" s="8"/>
      <c r="F114" s="8"/>
      <c r="G114" s="8"/>
      <c r="H114" s="8"/>
      <c r="I114" s="8"/>
      <c r="J114" s="8"/>
      <c r="K114" s="2"/>
      <c r="L114" s="2"/>
      <c r="M114" s="2"/>
      <c r="N114" s="2"/>
      <c r="O114" s="2"/>
      <c r="P114" s="2"/>
      <c r="Q114" s="2"/>
      <c r="R114" s="2"/>
      <c r="S114" s="2"/>
    </row>
    <row r="115" customFormat="false" ht="15" hidden="false" customHeight="false" outlineLevel="0" collapsed="false">
      <c r="A115" s="2"/>
      <c r="B115" s="2"/>
      <c r="C115" s="2"/>
      <c r="D115" s="2"/>
      <c r="E115" s="2"/>
      <c r="F115" s="2"/>
      <c r="G115" s="2"/>
      <c r="H115" s="5"/>
      <c r="I115" s="5"/>
      <c r="J115" s="5"/>
      <c r="K115" s="2"/>
      <c r="L115" s="2"/>
      <c r="M115" s="2"/>
      <c r="N115" s="2"/>
      <c r="O115" s="2"/>
      <c r="P115" s="2"/>
      <c r="Q115" s="2"/>
      <c r="R115" s="2"/>
      <c r="S115" s="2"/>
    </row>
    <row r="116" customFormat="false" ht="15" hidden="false" customHeight="false" outlineLevel="0" collapsed="false">
      <c r="A116" s="2"/>
      <c r="B116" s="5"/>
      <c r="C116" s="5"/>
      <c r="D116" s="5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</row>
    <row r="117" customFormat="false" ht="15" hidden="false" customHeight="fals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</row>
    <row r="118" customFormat="false" ht="15" hidden="false" customHeight="fals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</row>
    <row r="119" customFormat="false" ht="15" hidden="false" customHeight="fals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8.6875" defaultRowHeight="13.8" zeroHeight="false" outlineLevelRow="0" outlineLevelCol="0"/>
  <sheetData>
    <row r="1" customFormat="false" ht="13.8" hidden="false" customHeight="false" outlineLevel="0" collapsed="false">
      <c r="A1" s="0" t="s">
        <v>119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3.8" zeroHeight="false" outlineLevelRow="0" outlineLevelCol="0"/>
  <sheetData/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2025-08-16T19:44:37Z</dcterms:created>
  <dc:creator>joyce</dc:creator>
  <dc:description/>
  <dc:language>pt-BR</dc:language>
  <cp:lastModifiedBy/>
  <dcterms:modified xsi:type="dcterms:W3CDTF">2025-10-11T21:00:44Z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